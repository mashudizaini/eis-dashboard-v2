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AC\REPORT PAC\8. EIS\December\"/>
    </mc:Choice>
  </mc:AlternateContent>
  <xr:revisionPtr revIDLastSave="0" documentId="13_ncr:1_{5FF3E8E1-9228-4E3D-8EDE-A999E242DED7}" xr6:coauthVersionLast="47" xr6:coauthVersionMax="47" xr10:uidLastSave="{00000000-0000-0000-0000-000000000000}"/>
  <bookViews>
    <workbookView xWindow="-110" yWindow="-110" windowWidth="19420" windowHeight="10300" xr2:uid="{8AE2B263-7027-44E8-906B-46CCB25ACD39}"/>
  </bookViews>
  <sheets>
    <sheet name="Daily Sales Performance" sheetId="3" r:id="rId1"/>
    <sheet name="&gt;&gt;" sheetId="5" state="hidden" r:id="rId2"/>
    <sheet name="Apendix" sheetId="1" r:id="rId3"/>
    <sheet name="Chart" sheetId="2" r:id="rId4"/>
    <sheet name="Sheet4" sheetId="4" state="hidden" r:id="rId5"/>
  </sheets>
  <definedNames>
    <definedName name="\0">#N/A</definedName>
    <definedName name="\a">#N/A</definedName>
    <definedName name="\b">#N/A</definedName>
    <definedName name="\c">#N/A</definedName>
    <definedName name="\CO">#REF!</definedName>
    <definedName name="\COGS">#REF!</definedName>
    <definedName name="\d">#N/A</definedName>
    <definedName name="\DS">#REF!</definedName>
    <definedName name="\e">#N/A</definedName>
    <definedName name="\ED">#REF!</definedName>
    <definedName name="\F">#REF!</definedName>
    <definedName name="\g">#N/A</definedName>
    <definedName name="\GA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#N/A</definedName>
    <definedName name="\p">#N/A</definedName>
    <definedName name="\PR">#REF!</definedName>
    <definedName name="\PS">#REF!</definedName>
    <definedName name="\q">#N/A</definedName>
    <definedName name="\r">#REF!</definedName>
    <definedName name="\s">#REF!</definedName>
    <definedName name="\t">#N/A</definedName>
    <definedName name="\U">#REF!</definedName>
    <definedName name="\W">#REF!</definedName>
    <definedName name="\WH">#REF!</definedName>
    <definedName name="\X">#REF!</definedName>
    <definedName name="\y">#N/A</definedName>
    <definedName name="\z">#REF!</definedName>
    <definedName name="____________________________________NPW1">#REF!</definedName>
    <definedName name="____________________________________NPW10">#REF!</definedName>
    <definedName name="____________________________________NPW11">#REF!</definedName>
    <definedName name="____________________________________NPW2">#REF!</definedName>
    <definedName name="____________________________________NPW3">#REF!</definedName>
    <definedName name="____________________________________NPW4">#REF!</definedName>
    <definedName name="____________________________________NPW5">#REF!</definedName>
    <definedName name="____________________________________NPW6">#REF!</definedName>
    <definedName name="____________________________________NPW7">#REF!</definedName>
    <definedName name="____________________________________NPW8">#REF!</definedName>
    <definedName name="____________________________________NPW9">#REF!</definedName>
    <definedName name="___________________________________NPW1">#REF!</definedName>
    <definedName name="___________________________________NPW10">#REF!</definedName>
    <definedName name="___________________________________NPW11">#REF!</definedName>
    <definedName name="___________________________________NPW2">#REF!</definedName>
    <definedName name="___________________________________NPW3">#REF!</definedName>
    <definedName name="___________________________________NPW4">#REF!</definedName>
    <definedName name="___________________________________NPW5">#REF!</definedName>
    <definedName name="___________________________________NPW6">#REF!</definedName>
    <definedName name="___________________________________NPW7">#REF!</definedName>
    <definedName name="___________________________________NPW8">#REF!</definedName>
    <definedName name="___________________________________NPW9">#REF!</definedName>
    <definedName name="__________________________________NPW1">#REF!</definedName>
    <definedName name="__________________________________NPW10">#REF!</definedName>
    <definedName name="__________________________________NPW11">#REF!</definedName>
    <definedName name="__________________________________NPW2">#REF!</definedName>
    <definedName name="__________________________________NPW3">#REF!</definedName>
    <definedName name="__________________________________NPW4">#REF!</definedName>
    <definedName name="__________________________________NPW5">#REF!</definedName>
    <definedName name="__________________________________NPW6">#REF!</definedName>
    <definedName name="__________________________________NPW7">#REF!</definedName>
    <definedName name="__________________________________NPW8">#REF!</definedName>
    <definedName name="__________________________________NPW9">#REF!</definedName>
    <definedName name="_________________________________NPW1">#REF!</definedName>
    <definedName name="_________________________________NPW10">#REF!</definedName>
    <definedName name="_________________________________NPW11">#REF!</definedName>
    <definedName name="_________________________________NPW2">#REF!</definedName>
    <definedName name="_________________________________NPW3">#REF!</definedName>
    <definedName name="_________________________________NPW4">#REF!</definedName>
    <definedName name="_________________________________NPW5">#REF!</definedName>
    <definedName name="_________________________________NPW6">#REF!</definedName>
    <definedName name="_________________________________NPW7">#REF!</definedName>
    <definedName name="_________________________________NPW8">#REF!</definedName>
    <definedName name="_________________________________NPW9">#REF!</definedName>
    <definedName name="________________________________NPW1">#REF!</definedName>
    <definedName name="________________________________NPW10">#REF!</definedName>
    <definedName name="________________________________NPW11">#REF!</definedName>
    <definedName name="________________________________NPW2">#REF!</definedName>
    <definedName name="________________________________NPW3">#REF!</definedName>
    <definedName name="________________________________NPW4">#REF!</definedName>
    <definedName name="________________________________NPW5">#REF!</definedName>
    <definedName name="________________________________NPW6">#REF!</definedName>
    <definedName name="________________________________NPW7">#REF!</definedName>
    <definedName name="________________________________NPW8">#REF!</definedName>
    <definedName name="________________________________NPW9">#REF!</definedName>
    <definedName name="_______________________________NPW1">#REF!</definedName>
    <definedName name="_______________________________NPW10">#REF!</definedName>
    <definedName name="_______________________________NPW11">#REF!</definedName>
    <definedName name="_______________________________NPW2">#REF!</definedName>
    <definedName name="_______________________________NPW3">#REF!</definedName>
    <definedName name="_______________________________NPW4">#REF!</definedName>
    <definedName name="_______________________________NPW5">#REF!</definedName>
    <definedName name="_______________________________NPW6">#REF!</definedName>
    <definedName name="_______________________________NPW7">#REF!</definedName>
    <definedName name="_______________________________NPW8">#REF!</definedName>
    <definedName name="_______________________________NPW9">#REF!</definedName>
    <definedName name="______________________________NPW1">#REF!</definedName>
    <definedName name="______________________________NPW10">#REF!</definedName>
    <definedName name="______________________________NPW11">#REF!</definedName>
    <definedName name="______________________________NPW2">#REF!</definedName>
    <definedName name="______________________________NPW3">#REF!</definedName>
    <definedName name="______________________________NPW4">#REF!</definedName>
    <definedName name="______________________________NPW5">#REF!</definedName>
    <definedName name="______________________________NPW6">#REF!</definedName>
    <definedName name="______________________________NPW7">#REF!</definedName>
    <definedName name="______________________________NPW8">#REF!</definedName>
    <definedName name="______________________________NPW9">#REF!</definedName>
    <definedName name="_____________________________NPW1">#REF!</definedName>
    <definedName name="_____________________________NPW10">#REF!</definedName>
    <definedName name="_____________________________NPW11">#REF!</definedName>
    <definedName name="_____________________________NPW2">#REF!</definedName>
    <definedName name="_____________________________NPW3">#REF!</definedName>
    <definedName name="_____________________________NPW4">#REF!</definedName>
    <definedName name="_____________________________NPW5">#REF!</definedName>
    <definedName name="_____________________________NPW6">#REF!</definedName>
    <definedName name="_____________________________NPW7">#REF!</definedName>
    <definedName name="_____________________________NPW8">#REF!</definedName>
    <definedName name="_____________________________NPW9">#REF!</definedName>
    <definedName name="____________________________NPW1">#REF!</definedName>
    <definedName name="____________________________NPW10">#REF!</definedName>
    <definedName name="____________________________NPW11">#REF!</definedName>
    <definedName name="____________________________NPW2">#REF!</definedName>
    <definedName name="____________________________NPW3">#REF!</definedName>
    <definedName name="____________________________NPW4">#REF!</definedName>
    <definedName name="____________________________NPW5">#REF!</definedName>
    <definedName name="____________________________NPW6">#REF!</definedName>
    <definedName name="____________________________NPW7">#REF!</definedName>
    <definedName name="____________________________NPW8">#REF!</definedName>
    <definedName name="____________________________NPW9">#REF!</definedName>
    <definedName name="___________________________NPW1">#REF!</definedName>
    <definedName name="___________________________NPW10">#REF!</definedName>
    <definedName name="___________________________NPW11">#REF!</definedName>
    <definedName name="___________________________NPW2">#REF!</definedName>
    <definedName name="___________________________NPW3">#REF!</definedName>
    <definedName name="___________________________NPW4">#REF!</definedName>
    <definedName name="___________________________NPW5">#REF!</definedName>
    <definedName name="___________________________NPW6">#REF!</definedName>
    <definedName name="___________________________NPW7">#REF!</definedName>
    <definedName name="___________________________NPW8">#REF!</definedName>
    <definedName name="___________________________NPW9">#REF!</definedName>
    <definedName name="__________________________NPW1">#REF!</definedName>
    <definedName name="__________________________NPW10">#REF!</definedName>
    <definedName name="__________________________NPW11">#REF!</definedName>
    <definedName name="__________________________NPW2">#REF!</definedName>
    <definedName name="__________________________NPW3">#REF!</definedName>
    <definedName name="__________________________NPW4">#REF!</definedName>
    <definedName name="__________________________NPW5">#REF!</definedName>
    <definedName name="__________________________NPW6">#REF!</definedName>
    <definedName name="__________________________NPW7">#REF!</definedName>
    <definedName name="__________________________NPW8">#REF!</definedName>
    <definedName name="__________________________NPW9">#REF!</definedName>
    <definedName name="_________________________NPW1">#REF!</definedName>
    <definedName name="_________________________NPW10">#REF!</definedName>
    <definedName name="_________________________NPW11">#REF!</definedName>
    <definedName name="_________________________NPW2">#REF!</definedName>
    <definedName name="_________________________NPW3">#REF!</definedName>
    <definedName name="_________________________NPW4">#REF!</definedName>
    <definedName name="_________________________NPW5">#REF!</definedName>
    <definedName name="_________________________NPW6">#REF!</definedName>
    <definedName name="_________________________NPW7">#REF!</definedName>
    <definedName name="_________________________NPW8">#REF!</definedName>
    <definedName name="_________________________NPW9">#REF!</definedName>
    <definedName name="________________________NPW1">#REF!</definedName>
    <definedName name="________________________NPW10">#REF!</definedName>
    <definedName name="________________________NPW11">#REF!</definedName>
    <definedName name="________________________NPW2">#REF!</definedName>
    <definedName name="________________________NPW3">#REF!</definedName>
    <definedName name="________________________NPW4">#REF!</definedName>
    <definedName name="________________________NPW5">#REF!</definedName>
    <definedName name="________________________NPW6">#REF!</definedName>
    <definedName name="________________________NPW7">#REF!</definedName>
    <definedName name="________________________NPW8">#REF!</definedName>
    <definedName name="________________________NPW9">#REF!</definedName>
    <definedName name="_______________________NPW1">#REF!</definedName>
    <definedName name="_______________________NPW10">#REF!</definedName>
    <definedName name="_______________________NPW11">#REF!</definedName>
    <definedName name="_______________________NPW2">#REF!</definedName>
    <definedName name="_______________________NPW3">#REF!</definedName>
    <definedName name="_______________________NPW4">#REF!</definedName>
    <definedName name="_______________________NPW5">#REF!</definedName>
    <definedName name="_______________________NPW6">#REF!</definedName>
    <definedName name="_______________________NPW7">#REF!</definedName>
    <definedName name="_______________________NPW8">#REF!</definedName>
    <definedName name="_______________________NPW9">#REF!</definedName>
    <definedName name="______________________NPW1">#REF!</definedName>
    <definedName name="______________________NPW10">#REF!</definedName>
    <definedName name="______________________NPW11">#REF!</definedName>
    <definedName name="______________________NPW2">#REF!</definedName>
    <definedName name="______________________NPW3">#REF!</definedName>
    <definedName name="______________________NPW4">#REF!</definedName>
    <definedName name="______________________NPW5">#REF!</definedName>
    <definedName name="______________________NPW6">#REF!</definedName>
    <definedName name="______________________NPW7">#REF!</definedName>
    <definedName name="______________________NPW8">#REF!</definedName>
    <definedName name="______________________NPW9">#REF!</definedName>
    <definedName name="______________________RMS1">#REF!</definedName>
    <definedName name="_____________________NPW1">#REF!</definedName>
    <definedName name="_____________________NPW10">#REF!</definedName>
    <definedName name="_____________________NPW11">#REF!</definedName>
    <definedName name="_____________________NPW2">#REF!</definedName>
    <definedName name="_____________________NPW3">#REF!</definedName>
    <definedName name="_____________________NPW4">#REF!</definedName>
    <definedName name="_____________________NPW5">#REF!</definedName>
    <definedName name="_____________________NPW6">#REF!</definedName>
    <definedName name="_____________________NPW7">#REF!</definedName>
    <definedName name="_____________________NPW8">#REF!</definedName>
    <definedName name="_____________________NPW9">#REF!</definedName>
    <definedName name="_____________________RMS1">#REF!</definedName>
    <definedName name="____________________NPW1">#REF!</definedName>
    <definedName name="____________________NPW10">#REF!</definedName>
    <definedName name="____________________NPW11">#REF!</definedName>
    <definedName name="____________________NPW2">#REF!</definedName>
    <definedName name="____________________NPW3">#REF!</definedName>
    <definedName name="____________________NPW4">#REF!</definedName>
    <definedName name="____________________NPW5">#REF!</definedName>
    <definedName name="____________________NPW6">#REF!</definedName>
    <definedName name="____________________NPW7">#REF!</definedName>
    <definedName name="____________________NPW8">#REF!</definedName>
    <definedName name="____________________NPW9">#REF!</definedName>
    <definedName name="____________________RMS1">#REF!</definedName>
    <definedName name="___________________NPW1">#REF!</definedName>
    <definedName name="___________________NPW10">#REF!</definedName>
    <definedName name="___________________NPW11">#REF!</definedName>
    <definedName name="___________________NPW2">#REF!</definedName>
    <definedName name="___________________NPW3">#REF!</definedName>
    <definedName name="___________________NPW4">#REF!</definedName>
    <definedName name="___________________NPW5">#REF!</definedName>
    <definedName name="___________________NPW6">#REF!</definedName>
    <definedName name="___________________NPW7">#REF!</definedName>
    <definedName name="___________________NPW8">#REF!</definedName>
    <definedName name="___________________NPW9">#REF!</definedName>
    <definedName name="___________________RMS1">#REF!</definedName>
    <definedName name="__________________NPW1">#REF!</definedName>
    <definedName name="__________________NPW10">#REF!</definedName>
    <definedName name="__________________NPW11">#REF!</definedName>
    <definedName name="__________________NPW2">#REF!</definedName>
    <definedName name="__________________NPW3">#REF!</definedName>
    <definedName name="__________________NPW4">#REF!</definedName>
    <definedName name="__________________NPW5">#REF!</definedName>
    <definedName name="__________________NPW6">#REF!</definedName>
    <definedName name="__________________NPW7">#REF!</definedName>
    <definedName name="__________________NPW8">#REF!</definedName>
    <definedName name="__________________NPW9">#REF!</definedName>
    <definedName name="__________________RMS1">#REF!</definedName>
    <definedName name="_________________NPW1">#REF!</definedName>
    <definedName name="_________________NPW10">#REF!</definedName>
    <definedName name="_________________NPW11">#REF!</definedName>
    <definedName name="_________________NPW2">#REF!</definedName>
    <definedName name="_________________NPW3">#REF!</definedName>
    <definedName name="_________________NPW4">#REF!</definedName>
    <definedName name="_________________NPW5">#REF!</definedName>
    <definedName name="_________________NPW6">#REF!</definedName>
    <definedName name="_________________NPW7">#REF!</definedName>
    <definedName name="_________________NPW8">#REF!</definedName>
    <definedName name="_________________NPW9">#REF!</definedName>
    <definedName name="_________________RMS1">#REF!</definedName>
    <definedName name="________________NPW1">#REF!</definedName>
    <definedName name="________________NPW10">#REF!</definedName>
    <definedName name="________________NPW11">#REF!</definedName>
    <definedName name="________________NPW2">#REF!</definedName>
    <definedName name="________________NPW3">#REF!</definedName>
    <definedName name="________________NPW4">#REF!</definedName>
    <definedName name="________________NPW5">#REF!</definedName>
    <definedName name="________________NPW6">#REF!</definedName>
    <definedName name="________________NPW7">#REF!</definedName>
    <definedName name="________________NPW8">#REF!</definedName>
    <definedName name="________________NPW9">#REF!</definedName>
    <definedName name="________________RMS1">#REF!</definedName>
    <definedName name="________________sen03">#REF!</definedName>
    <definedName name="_______________NPW1">#REF!</definedName>
    <definedName name="_______________NPW10">#REF!</definedName>
    <definedName name="_______________NPW11">#REF!</definedName>
    <definedName name="_______________NPW2">#REF!</definedName>
    <definedName name="_______________NPW3">#REF!</definedName>
    <definedName name="_______________NPW4">#REF!</definedName>
    <definedName name="_______________NPW5">#REF!</definedName>
    <definedName name="_______________NPW6">#REF!</definedName>
    <definedName name="_______________NPW7">#REF!</definedName>
    <definedName name="_______________NPW8">#REF!</definedName>
    <definedName name="_______________NPW9">#REF!</definedName>
    <definedName name="_______________RMS1">#REF!</definedName>
    <definedName name="______________NPW1">#REF!</definedName>
    <definedName name="______________NPW10">#REF!</definedName>
    <definedName name="______________NPW11">#REF!</definedName>
    <definedName name="______________NPW2">#REF!</definedName>
    <definedName name="______________NPW3">#REF!</definedName>
    <definedName name="______________NPW4">#REF!</definedName>
    <definedName name="______________NPW5">#REF!</definedName>
    <definedName name="______________NPW6">#REF!</definedName>
    <definedName name="______________NPW7">#REF!</definedName>
    <definedName name="______________NPW8">#REF!</definedName>
    <definedName name="______________NPW9">#REF!</definedName>
    <definedName name="______________RMS1">#REF!</definedName>
    <definedName name="_____________NPW1">#REF!</definedName>
    <definedName name="_____________NPW10">#REF!</definedName>
    <definedName name="_____________NPW11">#REF!</definedName>
    <definedName name="_____________NPW2">#REF!</definedName>
    <definedName name="_____________NPW3">#REF!</definedName>
    <definedName name="_____________NPW4">#REF!</definedName>
    <definedName name="_____________NPW5">#REF!</definedName>
    <definedName name="_____________NPW6">#REF!</definedName>
    <definedName name="_____________NPW7">#REF!</definedName>
    <definedName name="_____________NPW8">#REF!</definedName>
    <definedName name="_____________NPW9">#REF!</definedName>
    <definedName name="_____________RMS1">#REF!</definedName>
    <definedName name="____________MA0303">#N/A</definedName>
    <definedName name="____________MA0304">#N/A</definedName>
    <definedName name="____________NPW1">#REF!</definedName>
    <definedName name="____________NPW10">#REF!</definedName>
    <definedName name="____________NPW11">#REF!</definedName>
    <definedName name="____________NPW2">#REF!</definedName>
    <definedName name="____________NPW3">#REF!</definedName>
    <definedName name="____________NPW4">#REF!</definedName>
    <definedName name="____________NPW5">#REF!</definedName>
    <definedName name="____________NPW6">#REF!</definedName>
    <definedName name="____________NPW7">#REF!</definedName>
    <definedName name="____________NPW8">#REF!</definedName>
    <definedName name="____________NPW9">#REF!</definedName>
    <definedName name="____________RMS1">#REF!</definedName>
    <definedName name="___________MA0303">#N/A</definedName>
    <definedName name="___________MA0304">#N/A</definedName>
    <definedName name="___________NPW1">#REF!</definedName>
    <definedName name="___________NPW10">#REF!</definedName>
    <definedName name="___________NPW11">#REF!</definedName>
    <definedName name="___________NPW2">#REF!</definedName>
    <definedName name="___________NPW3">#REF!</definedName>
    <definedName name="___________NPW4">#REF!</definedName>
    <definedName name="___________NPW5">#REF!</definedName>
    <definedName name="___________NPW6">#REF!</definedName>
    <definedName name="___________NPW7">#REF!</definedName>
    <definedName name="___________NPW8">#REF!</definedName>
    <definedName name="___________NPW9">#REF!</definedName>
    <definedName name="___________RMS1">#REF!</definedName>
    <definedName name="__________a1">#REF!</definedName>
    <definedName name="__________bts1">#REF!</definedName>
    <definedName name="__________bts2">#REF!</definedName>
    <definedName name="__________bts3">#REF!</definedName>
    <definedName name="__________bts4">#REF!</definedName>
    <definedName name="__________bts5">#REF!</definedName>
    <definedName name="__________MA0303">#N/A</definedName>
    <definedName name="__________MA0304">#N/A</definedName>
    <definedName name="__________NPW1">#REF!</definedName>
    <definedName name="__________NPW10">#REF!</definedName>
    <definedName name="__________NPW11">#REF!</definedName>
    <definedName name="__________NPW2">#REF!</definedName>
    <definedName name="__________NPW3">#REF!</definedName>
    <definedName name="__________NPW4">#REF!</definedName>
    <definedName name="__________NPW5">#REF!</definedName>
    <definedName name="__________NPW6">#REF!</definedName>
    <definedName name="__________NPW7">#REF!</definedName>
    <definedName name="__________NPW8">#REF!</definedName>
    <definedName name="__________NPW9">#REF!</definedName>
    <definedName name="__________PPh23">#REF!</definedName>
    <definedName name="__________RMS1">#REF!</definedName>
    <definedName name="__________umr1">#REF!</definedName>
    <definedName name="__________umr2">#REF!</definedName>
    <definedName name="__________umr3">#REF!</definedName>
    <definedName name="__________umr4">#REF!</definedName>
    <definedName name="__________umr5">#REF!</definedName>
    <definedName name="_________a1">#REF!</definedName>
    <definedName name="_________feb226">#REF!</definedName>
    <definedName name="_________feb404">#REF!</definedName>
    <definedName name="_________MA0303">#N/A</definedName>
    <definedName name="_________MA0304">#N/A</definedName>
    <definedName name="_________NPW1">#REF!</definedName>
    <definedName name="_________NPW10">#REF!</definedName>
    <definedName name="_________NPW11">#REF!</definedName>
    <definedName name="_________NPW2">#REF!</definedName>
    <definedName name="_________NPW3">#REF!</definedName>
    <definedName name="_________NPW4">#REF!</definedName>
    <definedName name="_________NPW5">#REF!</definedName>
    <definedName name="_________NPW6">#REF!</definedName>
    <definedName name="_________NPW7">#REF!</definedName>
    <definedName name="_________NPW8">#REF!</definedName>
    <definedName name="_________NPW9">#REF!</definedName>
    <definedName name="_________poc1">#REF!</definedName>
    <definedName name="_________poc2">#REF!</definedName>
    <definedName name="_________poc3">#REF!</definedName>
    <definedName name="_________poc4">#REF!</definedName>
    <definedName name="_________poc5">#REF!</definedName>
    <definedName name="_________RMS1">#REF!</definedName>
    <definedName name="________a1">#REF!</definedName>
    <definedName name="________apa2">#REF!</definedName>
    <definedName name="________dat110">#REF!</definedName>
    <definedName name="________dat80">#REF!</definedName>
    <definedName name="________dat90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MA0303">#N/A</definedName>
    <definedName name="________MA0304">#N/A</definedName>
    <definedName name="________mm2">#REF!</definedName>
    <definedName name="________mm3">#REF!</definedName>
    <definedName name="________mm4">#REF!</definedName>
    <definedName name="________NPW1">#REF!</definedName>
    <definedName name="________NPW10">#REF!</definedName>
    <definedName name="________NPW11">#REF!</definedName>
    <definedName name="________NPW2">#REF!</definedName>
    <definedName name="________NPW3">#REF!</definedName>
    <definedName name="________NPW4">#REF!</definedName>
    <definedName name="________NPW5">#REF!</definedName>
    <definedName name="________NPW6">#REF!</definedName>
    <definedName name="________NPW7">#REF!</definedName>
    <definedName name="________NPW8">#REF!</definedName>
    <definedName name="________NPW9">#REF!</definedName>
    <definedName name="________RMS1">#REF!</definedName>
    <definedName name="________yy1">#REF!</definedName>
    <definedName name="________yy2">#REF!</definedName>
    <definedName name="________yy3">#REF!</definedName>
    <definedName name="________yy4">#REF!</definedName>
    <definedName name="_______a1">#REF!</definedName>
    <definedName name="_______apa1">#REF!</definedName>
    <definedName name="_______apa2">#REF!</definedName>
    <definedName name="_______dat110">#REF!</definedName>
    <definedName name="_______dat80">#REF!</definedName>
    <definedName name="_______dat90">#REF!</definedName>
    <definedName name="_______feb226">#REF!</definedName>
    <definedName name="_______feb404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MA0303">#N/A</definedName>
    <definedName name="_______MA0304">#N/A</definedName>
    <definedName name="_______mm1">#REF!</definedName>
    <definedName name="_______mm2">#REF!</definedName>
    <definedName name="_______mm3">#REF!</definedName>
    <definedName name="_______mm4">#REF!</definedName>
    <definedName name="_______NPW1">#REF!</definedName>
    <definedName name="_______NPW10">#REF!</definedName>
    <definedName name="_______NPW11">#REF!</definedName>
    <definedName name="_______NPW2">#REF!</definedName>
    <definedName name="_______NPW3">#REF!</definedName>
    <definedName name="_______NPW4">#REF!</definedName>
    <definedName name="_______NPW5">#REF!</definedName>
    <definedName name="_______NPW6">#REF!</definedName>
    <definedName name="_______NPW7">#REF!</definedName>
    <definedName name="_______NPW8">#REF!</definedName>
    <definedName name="_______NPW9">#REF!</definedName>
    <definedName name="_______RMS1">#REF!</definedName>
    <definedName name="_______yy1">#REF!</definedName>
    <definedName name="_______yy2">#REF!</definedName>
    <definedName name="_______yy3">#REF!</definedName>
    <definedName name="_______yy4">#REF!</definedName>
    <definedName name="______a1">#REF!</definedName>
    <definedName name="______apa1">#REF!</definedName>
    <definedName name="______apa2">#REF!</definedName>
    <definedName name="______AUD1202">#REF!</definedName>
    <definedName name="______DAT11">#REF!</definedName>
    <definedName name="______dat110">#REF!</definedName>
    <definedName name="______DAT12">#REF!</definedName>
    <definedName name="______dat80">#REF!</definedName>
    <definedName name="______dat90">#REF!</definedName>
    <definedName name="______DEM1202">#REF!</definedName>
    <definedName name="______feb226">#REF!</definedName>
    <definedName name="______feb404">#REF!</definedName>
    <definedName name="______FRF1202">#REF!</definedName>
    <definedName name="______GBP1202">#REF!</definedName>
    <definedName name="______HPP02">#REF!</definedName>
    <definedName name="______MA0303">#N/A</definedName>
    <definedName name="______MA0304">#N/A</definedName>
    <definedName name="______NPW1">#REF!</definedName>
    <definedName name="______NPW10">#REF!</definedName>
    <definedName name="______NPW11">#REF!</definedName>
    <definedName name="______NPW2">#REF!</definedName>
    <definedName name="______NPW3">#REF!</definedName>
    <definedName name="______NPW4">#REF!</definedName>
    <definedName name="______NPW5">#REF!</definedName>
    <definedName name="______NPW6">#REF!</definedName>
    <definedName name="______NPW7">#REF!</definedName>
    <definedName name="______NPW8">#REF!</definedName>
    <definedName name="______NPW9">#REF!</definedName>
    <definedName name="______QTY1">#REF!</definedName>
    <definedName name="______QTY2">#REF!</definedName>
    <definedName name="______RMS1">#REF!</definedName>
    <definedName name="______sen03">#REF!</definedName>
    <definedName name="______SGD1202">#REF!</definedName>
    <definedName name="______SGN2">#REF!</definedName>
    <definedName name="______Spm2">#REF!</definedName>
    <definedName name="______USD1202">#REF!</definedName>
    <definedName name="_____a1">#REF!</definedName>
    <definedName name="_____agt03">#REF!</definedName>
    <definedName name="_____agt98">#REF!</definedName>
    <definedName name="_____apa1">#REF!</definedName>
    <definedName name="_____apa2">#REF!</definedName>
    <definedName name="_____apr04">#REF!</definedName>
    <definedName name="_____apr98">#REF!</definedName>
    <definedName name="_____apr99">#REF!</definedName>
    <definedName name="_____ar8">#REF!</definedName>
    <definedName name="_____AUD1">#REF!</definedName>
    <definedName name="_____AUD1202">#REF!</definedName>
    <definedName name="_____AUD2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bad12">#REF!</definedName>
    <definedName name="_____DAT11">#REF!</definedName>
    <definedName name="_____dat110">#REF!</definedName>
    <definedName name="_____DAT12">#REF!</definedName>
    <definedName name="_____dat80">#REF!</definedName>
    <definedName name="_____dat90">#REF!</definedName>
    <definedName name="_____dec98">#REF!</definedName>
    <definedName name="_____DEM1202">#REF!</definedName>
    <definedName name="_____feb226">#REF!</definedName>
    <definedName name="_____feb404">#REF!</definedName>
    <definedName name="_____feb98">#REF!</definedName>
    <definedName name="_____feb99">#REF!</definedName>
    <definedName name="_____FRF1202">#REF!</definedName>
    <definedName name="_____GBP1202">#REF!</definedName>
    <definedName name="_____grp1">#REF!</definedName>
    <definedName name="_____HPP02">#REF!</definedName>
    <definedName name="_____hpp04">#REF!</definedName>
    <definedName name="_____hpp05">#REF!</definedName>
    <definedName name="_____hpp10">#REF!</definedName>
    <definedName name="_____hpp11">#REF!</definedName>
    <definedName name="_____hpp1203">#REF!</definedName>
    <definedName name="_____jan98">#REF!</definedName>
    <definedName name="_____jan99">#REF!</definedName>
    <definedName name="_____jul03">#REF!</definedName>
    <definedName name="_____jul98">#REF!</definedName>
    <definedName name="_____jun03">#REF!</definedName>
    <definedName name="_____jun98">#REF!</definedName>
    <definedName name="_____jun99">#REF!</definedName>
    <definedName name="_____kap25">#REF!</definedName>
    <definedName name="_____KOP1">#REF!</definedName>
    <definedName name="_____kpp25">#REF!</definedName>
    <definedName name="_____MA0303">#N/A</definedName>
    <definedName name="_____MA0304">#N/A</definedName>
    <definedName name="_____mar03">#REF!</definedName>
    <definedName name="_____mar98">#REF!</definedName>
    <definedName name="_____mar99">#REF!</definedName>
    <definedName name="_____mei03">#REF!</definedName>
    <definedName name="_____mei98">#REF!</definedName>
    <definedName name="_____mei99">#REF!</definedName>
    <definedName name="_____net1">#REF!</definedName>
    <definedName name="_____No21">#REF!</definedName>
    <definedName name="_____Not21">#REF!</definedName>
    <definedName name="_____nov98">#REF!</definedName>
    <definedName name="_____NPW1">#REF!</definedName>
    <definedName name="_____NPW10">#REF!</definedName>
    <definedName name="_____NPW11">#REF!</definedName>
    <definedName name="_____NPW2">#REF!</definedName>
    <definedName name="_____NPW3">#REF!</definedName>
    <definedName name="_____NPW4">#REF!</definedName>
    <definedName name="_____NPW5">#REF!</definedName>
    <definedName name="_____NPW6">#REF!</definedName>
    <definedName name="_____NPW7">#REF!</definedName>
    <definedName name="_____NPW8">#REF!</definedName>
    <definedName name="_____NPW9">#REF!</definedName>
    <definedName name="_____NRC2">#REF!</definedName>
    <definedName name="_____NUR1">#REF!</definedName>
    <definedName name="_____okt98">#REF!</definedName>
    <definedName name="_____pem1">#REF!</definedName>
    <definedName name="_____pem2">#REF!</definedName>
    <definedName name="_____pem3">#REF!</definedName>
    <definedName name="_____PPh21">#REF!</definedName>
    <definedName name="_____PPH23">#REF!</definedName>
    <definedName name="_____PPh26">#REF!</definedName>
    <definedName name="_____QTY1">#REF!</definedName>
    <definedName name="_____QTY2">#REF!</definedName>
    <definedName name="_____RET06">#REF!</definedName>
    <definedName name="_____RMS1">#REF!</definedName>
    <definedName name="_____rqw300">#REF!</definedName>
    <definedName name="_____sen03">#REF!</definedName>
    <definedName name="_____sep98">#REF!</definedName>
    <definedName name="_____SGD1">#REF!</definedName>
    <definedName name="_____SGD1202">#REF!</definedName>
    <definedName name="_____SGD2">#REF!</definedName>
    <definedName name="_____SP1">#REF!</definedName>
    <definedName name="_____SP2">#REF!</definedName>
    <definedName name="_____Spm2">#REF!</definedName>
    <definedName name="_____SPm21">#REF!</definedName>
    <definedName name="_____sto10">#REF!</definedName>
    <definedName name="_____sto11">#REF!</definedName>
    <definedName name="_____THB1">#REF!</definedName>
    <definedName name="_____THB2">#REF!</definedName>
    <definedName name="_____USD1">#REF!</definedName>
    <definedName name="_____USD1202">#REF!</definedName>
    <definedName name="_____USD2">#REF!</definedName>
    <definedName name="_____WBS1">#REF!</definedName>
    <definedName name="_____WBS2">#REF!</definedName>
    <definedName name="_____WIR1">#N/A</definedName>
    <definedName name="_____wpl2">#REF!</definedName>
    <definedName name="____a1">#REF!</definedName>
    <definedName name="____a2">#REF!</definedName>
    <definedName name="____a3">#REF!</definedName>
    <definedName name="____a4">#REF!</definedName>
    <definedName name="____agt03">#REF!</definedName>
    <definedName name="____agt98">#REF!</definedName>
    <definedName name="____apa1">#REF!</definedName>
    <definedName name="____apa2">#REF!</definedName>
    <definedName name="____apr04">#REF!</definedName>
    <definedName name="____apr98">#REF!</definedName>
    <definedName name="____apr99">#REF!</definedName>
    <definedName name="____ar8">#REF!</definedName>
    <definedName name="____AUD1">#REF!</definedName>
    <definedName name="____AUD1202">#REF!</definedName>
    <definedName name="____AUD2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bad12">#REF!</definedName>
    <definedName name="____COS2">#REF!</definedName>
    <definedName name="____CUR1">#REF!</definedName>
    <definedName name="____CUR2">#REF!</definedName>
    <definedName name="____DAT11">#REF!</definedName>
    <definedName name="____dat110">#REF!</definedName>
    <definedName name="____DAT12">#REF!</definedName>
    <definedName name="____dat80">#REF!</definedName>
    <definedName name="____dat90">#REF!</definedName>
    <definedName name="____dec98">#REF!</definedName>
    <definedName name="____DEM1202">#REF!</definedName>
    <definedName name="____feb226">#REF!</definedName>
    <definedName name="____feb404">#REF!</definedName>
    <definedName name="____feb98">#REF!</definedName>
    <definedName name="____feb99">#REF!</definedName>
    <definedName name="____FRF1202">#REF!</definedName>
    <definedName name="____FX2">#REF!</definedName>
    <definedName name="____GBP1202">#REF!</definedName>
    <definedName name="____grp1">#REF!</definedName>
    <definedName name="____hpp04">#REF!</definedName>
    <definedName name="____hpp05">#REF!</definedName>
    <definedName name="____hpp10">#REF!</definedName>
    <definedName name="____hpp11">#REF!</definedName>
    <definedName name="____hpp1203">#REF!</definedName>
    <definedName name="____jan98">#REF!</definedName>
    <definedName name="____jan99">#REF!</definedName>
    <definedName name="____jul03">#REF!</definedName>
    <definedName name="____jul98">#REF!</definedName>
    <definedName name="____jun03">#REF!</definedName>
    <definedName name="____jun98">#REF!</definedName>
    <definedName name="____jun99">#REF!</definedName>
    <definedName name="____kap25">#REF!</definedName>
    <definedName name="____KOP1">#REF!</definedName>
    <definedName name="____KOP2">#N/A</definedName>
    <definedName name="____kpp25">#REF!</definedName>
    <definedName name="____MA0303">#N/A</definedName>
    <definedName name="____MA0304">#N/A</definedName>
    <definedName name="____mar03">#REF!</definedName>
    <definedName name="____mar98">#REF!</definedName>
    <definedName name="____mar99">#REF!</definedName>
    <definedName name="____mei03">#REF!</definedName>
    <definedName name="____mei98">#REF!</definedName>
    <definedName name="____mei99">#REF!</definedName>
    <definedName name="____MG1">#REF!</definedName>
    <definedName name="____net1">#REF!</definedName>
    <definedName name="____No21">#REF!</definedName>
    <definedName name="____Not21">#REF!</definedName>
    <definedName name="____nov98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NRC2">#REF!</definedName>
    <definedName name="____NUR1">#REF!</definedName>
    <definedName name="____okt98">#REF!</definedName>
    <definedName name="____pem1">#REF!</definedName>
    <definedName name="____pem2">#REF!</definedName>
    <definedName name="____pem3">#REF!</definedName>
    <definedName name="____PM1">#REF!</definedName>
    <definedName name="____PM2">#REF!</definedName>
    <definedName name="____PPh21">#REF!</definedName>
    <definedName name="____PPH23">#REF!</definedName>
    <definedName name="____PPh26">#REF!</definedName>
    <definedName name="____PSD1">#REF!</definedName>
    <definedName name="____PSD3">#REF!</definedName>
    <definedName name="____PSD5">#REF!</definedName>
    <definedName name="____QTY1">#REF!</definedName>
    <definedName name="____QTY2">#REF!</definedName>
    <definedName name="____RET06">#REF!</definedName>
    <definedName name="____RIZ1">#N/A</definedName>
    <definedName name="____RIZ2">#N/A</definedName>
    <definedName name="____RIZ3">#N/A</definedName>
    <definedName name="____RMS1">#REF!</definedName>
    <definedName name="____rqw300">#REF!</definedName>
    <definedName name="____RT1" hidden="1">#REF!</definedName>
    <definedName name="____sen03">#REF!</definedName>
    <definedName name="____sep98">#REF!</definedName>
    <definedName name="____SGD1">#REF!</definedName>
    <definedName name="____SGD1202">#REF!</definedName>
    <definedName name="____SGD2">#REF!</definedName>
    <definedName name="____SP1">#REF!</definedName>
    <definedName name="____SP2">#REF!</definedName>
    <definedName name="____Spm2">#REF!</definedName>
    <definedName name="____SPm21">#REF!</definedName>
    <definedName name="____sto10">#REF!</definedName>
    <definedName name="____sto11">#REF!</definedName>
    <definedName name="____THB1">#REF!</definedName>
    <definedName name="____THB2">#REF!</definedName>
    <definedName name="____UOM2">#REF!</definedName>
    <definedName name="____USD1">#REF!</definedName>
    <definedName name="____USD1202">#REF!</definedName>
    <definedName name="____USD2">#REF!</definedName>
    <definedName name="____WBS1">#REF!</definedName>
    <definedName name="____WBS2">#REF!</definedName>
    <definedName name="____WIR1">#N/A</definedName>
    <definedName name="____WP1">#REF!</definedName>
    <definedName name="____wpl2">#REF!</definedName>
    <definedName name="___a1">#REF!</definedName>
    <definedName name="___A2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gt03">#REF!</definedName>
    <definedName name="___agt98">#REF!</definedName>
    <definedName name="___apa1">#REF!</definedName>
    <definedName name="___apa2">#REF!</definedName>
    <definedName name="___apr04">#REF!</definedName>
    <definedName name="___apr98">#REF!</definedName>
    <definedName name="___apr99">#REF!</definedName>
    <definedName name="___ar8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bad12">#REF!</definedName>
    <definedName name="___COS2">#REF!</definedName>
    <definedName name="___CUR1">#REF!</definedName>
    <definedName name="___CUR2">#REF!</definedName>
    <definedName name="___DAT11">#REF!</definedName>
    <definedName name="___dat110">#REF!</definedName>
    <definedName name="___DAT12">#REF!</definedName>
    <definedName name="___dat40">#REF!</definedName>
    <definedName name="___dat60">#REF!</definedName>
    <definedName name="___dat80">#REF!</definedName>
    <definedName name="___dat90">#REF!</definedName>
    <definedName name="___dec98">#REF!</definedName>
    <definedName name="___DEM1202">#REF!</definedName>
    <definedName name="___feb226">#REF!</definedName>
    <definedName name="___feb404">#REF!</definedName>
    <definedName name="___feb98">#REF!</definedName>
    <definedName name="___feb99">#REF!</definedName>
    <definedName name="___FRF1202">#REF!</definedName>
    <definedName name="___FRT30109">#REF!</definedName>
    <definedName name="___FRT30110">#REF!</definedName>
    <definedName name="___FRT30209">#REF!</definedName>
    <definedName name="___FRT30210">#REF!</definedName>
    <definedName name="___FRT30309">#REF!</definedName>
    <definedName name="___FRT30310">#REF!</definedName>
    <definedName name="___FRT30509">#REF!</definedName>
    <definedName name="___FRT30510">#REF!</definedName>
    <definedName name="___FRT30609">#REF!</definedName>
    <definedName name="___FRT30610">#REF!</definedName>
    <definedName name="___FRT30709">#REF!</definedName>
    <definedName name="___FRT30710">#REF!</definedName>
    <definedName name="___FRT30909">#REF!</definedName>
    <definedName name="___FRT30910">#REF!</definedName>
    <definedName name="___FRT31009">#REF!</definedName>
    <definedName name="___FRT31010">#REF!</definedName>
    <definedName name="___FRT31109">#REF!</definedName>
    <definedName name="___FRT31110">#REF!</definedName>
    <definedName name="___FRT31209">#REF!</definedName>
    <definedName name="___FRT31210">#REF!</definedName>
    <definedName name="___FRT31309">#REF!</definedName>
    <definedName name="___FRT31310">#REF!</definedName>
    <definedName name="___FRT40109">#REF!</definedName>
    <definedName name="___FRT40110">#REF!</definedName>
    <definedName name="___FRT40209">#REF!</definedName>
    <definedName name="___FRT40210">#REF!</definedName>
    <definedName name="___FRT40309">#REF!</definedName>
    <definedName name="___FRT40310">#REF!</definedName>
    <definedName name="___FRT40409">#REF!</definedName>
    <definedName name="___FRT40410">#REF!</definedName>
    <definedName name="___FRT40509">#REF!</definedName>
    <definedName name="___FRT40510">#REF!</definedName>
    <definedName name="___FRT40609">#REF!</definedName>
    <definedName name="___FRT40610">#REF!</definedName>
    <definedName name="___FX2">#REF!</definedName>
    <definedName name="___GBP1202">#REF!</definedName>
    <definedName name="___grp1">#REF!</definedName>
    <definedName name="___HPP02">#REF!</definedName>
    <definedName name="___hpp04">#REF!</definedName>
    <definedName name="___hpp05">#REF!</definedName>
    <definedName name="___hpp10">#REF!</definedName>
    <definedName name="___hpp11">#REF!</definedName>
    <definedName name="___hpp1203">#REF!</definedName>
    <definedName name="___jan98">#REF!</definedName>
    <definedName name="___jan99">#REF!</definedName>
    <definedName name="___jul03">#REF!</definedName>
    <definedName name="___jul98">#REF!</definedName>
    <definedName name="___jun03">#REF!</definedName>
    <definedName name="___jun98">#REF!</definedName>
    <definedName name="___jun99">#REF!</definedName>
    <definedName name="___kap25">#REF!</definedName>
    <definedName name="___KOP1">#REF!</definedName>
    <definedName name="___KOP2">#N/A</definedName>
    <definedName name="___kpp25">#REF!</definedName>
    <definedName name="___MA0303">#N/A</definedName>
    <definedName name="___MA0304">#N/A</definedName>
    <definedName name="___mar03">#REF!</definedName>
    <definedName name="___mar98">#REF!</definedName>
    <definedName name="___mar99">#REF!</definedName>
    <definedName name="___mei03">#REF!</definedName>
    <definedName name="___mei98">#REF!</definedName>
    <definedName name="___mei99">#REF!</definedName>
    <definedName name="___MG1">#REF!</definedName>
    <definedName name="___net1">#REF!</definedName>
    <definedName name="___No21">#REF!</definedName>
    <definedName name="___Not21">#REF!</definedName>
    <definedName name="___nov98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NRC2">#REF!</definedName>
    <definedName name="___NUR1">#REF!</definedName>
    <definedName name="___okt98">#REF!</definedName>
    <definedName name="___pem1">#REF!</definedName>
    <definedName name="___pem2">#REF!</definedName>
    <definedName name="___pem3">#REF!</definedName>
    <definedName name="___PM1">#REF!</definedName>
    <definedName name="___PM2">#REF!</definedName>
    <definedName name="___PPh21">#REF!</definedName>
    <definedName name="___PPH23">#REF!</definedName>
    <definedName name="___PPh26">#REF!</definedName>
    <definedName name="___PSD1">#REF!</definedName>
    <definedName name="___PSD3">#REF!</definedName>
    <definedName name="___PSD5">#REF!</definedName>
    <definedName name="___QTY1">#REF!</definedName>
    <definedName name="___QTY2">#REF!</definedName>
    <definedName name="___RET06">#REF!</definedName>
    <definedName name="___RIZ1">#N/A</definedName>
    <definedName name="___RIZ2">#N/A</definedName>
    <definedName name="___RIZ3">#N/A</definedName>
    <definedName name="___RMS1">#REF!</definedName>
    <definedName name="___rqw300">#REF!</definedName>
    <definedName name="___RT1" hidden="1">#REF!</definedName>
    <definedName name="___sen03">#REF!</definedName>
    <definedName name="___sep98">#REF!</definedName>
    <definedName name="___SGD1">#REF!</definedName>
    <definedName name="___SGD1202">#REF!</definedName>
    <definedName name="___SGD2">#REF!</definedName>
    <definedName name="___SP1">#REF!</definedName>
    <definedName name="___SP2">#REF!</definedName>
    <definedName name="___Spm2">#REF!</definedName>
    <definedName name="___SPm21">#REF!</definedName>
    <definedName name="___sto10">#REF!</definedName>
    <definedName name="___sto11">#REF!</definedName>
    <definedName name="___THB1">#REF!</definedName>
    <definedName name="___THB2">#REF!</definedName>
    <definedName name="___UOM2">#REF!</definedName>
    <definedName name="___USD1">#REF!</definedName>
    <definedName name="___USD1202">#REF!</definedName>
    <definedName name="___USD2">#REF!</definedName>
    <definedName name="___WBS1">#REF!</definedName>
    <definedName name="___WBS2">#REF!</definedName>
    <definedName name="___WIR1">#N/A</definedName>
    <definedName name="___WP1">#REF!</definedName>
    <definedName name="___wpl2">#REF!</definedName>
    <definedName name="___xlfn.BAHTTEXT" hidden="1">#NAME?</definedName>
    <definedName name="__1_Excel_BuiltIn_Print_Area_2_1_1">#REF!</definedName>
    <definedName name="__123Graph_CCurrent" hidden="1">#REF!</definedName>
    <definedName name="__123Graph_ECurrent" hidden="1">#REF!</definedName>
    <definedName name="__123Graph_FCurrent" hidden="1">#REF!</definedName>
    <definedName name="__123Graph_XCurrent" hidden="1">#REF!</definedName>
    <definedName name="__1Excel_BuiltIn_Print_Area_1_1_1_1_1">#REF!</definedName>
    <definedName name="__1Module1__2__.by01ytd">#REF!</definedName>
    <definedName name="__2_Excel_BuiltIn_Print_Area_2_1_1_1_1">#REF!</definedName>
    <definedName name="__2Excel_BuiltIn_Print_Area_1_1_1_1_1_1_1_1">#REF!</definedName>
    <definedName name="__3Excel_BuiltIn_Print_Area_13_4_1">#REF!</definedName>
    <definedName name="__4Excel_BuiltIn_Print_Area_2_1_1">#REF!</definedName>
    <definedName name="__a1">#REF!</definedName>
    <definedName name="__A2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DM10">#REF!</definedName>
    <definedName name="__ADM8">#REF!</definedName>
    <definedName name="__ADM9">#REF!</definedName>
    <definedName name="__agt03">#REF!</definedName>
    <definedName name="__agt98">#REF!</definedName>
    <definedName name="__apa1">#REF!</definedName>
    <definedName name="__apa2">#REF!</definedName>
    <definedName name="__APL02">#REF!</definedName>
    <definedName name="__apr04">#REF!</definedName>
    <definedName name="__apr98">#REF!</definedName>
    <definedName name="__apr99">#REF!</definedName>
    <definedName name="__ar8">#REF!</definedName>
    <definedName name="__AUD1">#REF!</definedName>
    <definedName name="__AUD1202">#REF!</definedName>
    <definedName name="__AUD2">#REF!</definedName>
    <definedName name="__aug03">#REF!</definedName>
    <definedName name="__aug04">#REF!</definedName>
    <definedName name="__aug05">#REF!</definedName>
    <definedName name="__aug06">#REF!</definedName>
    <definedName name="__aug07">#REF!</definedName>
    <definedName name="__aug08">#REF!</definedName>
    <definedName name="__aug09">#REF!</definedName>
    <definedName name="__aug10">#REF!</definedName>
    <definedName name="__aug12">#REF!</definedName>
    <definedName name="__aug13">#REF!</definedName>
    <definedName name="__aug14">#REF!</definedName>
    <definedName name="__aug15">#REF!</definedName>
    <definedName name="__aug16">#REF!</definedName>
    <definedName name="__aug19">#REF!</definedName>
    <definedName name="__aug20">#REF!</definedName>
    <definedName name="__aug21">#REF!</definedName>
    <definedName name="__aug22">#REF!</definedName>
    <definedName name="__aug23">#REF!</definedName>
    <definedName name="__aug24">#REF!</definedName>
    <definedName name="__aug26">#REF!</definedName>
    <definedName name="__aug27">#REF!</definedName>
    <definedName name="__aug28">#REF!</definedName>
    <definedName name="__aug29">#REF!</definedName>
    <definedName name="__aug30">#REF!</definedName>
    <definedName name="__aug31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b3" hidden="1">{#N/A,#N/A,FALSE,"Aging Summary";#N/A,#N/A,FALSE,"Ratio Analysis";#N/A,#N/A,FALSE,"Test 120 Day Accts";#N/A,#N/A,FALSE,"Tickmarks"}</definedName>
    <definedName name="__bad12">#REF!</definedName>
    <definedName name="__CAT1">#REF!</definedName>
    <definedName name="__CAT2">#REF!</definedName>
    <definedName name="__CAT3">#REF!</definedName>
    <definedName name="__COS2">#REF!</definedName>
    <definedName name="__CUR1">#REF!</definedName>
    <definedName name="__CUR2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7">#REF!</definedName>
    <definedName name="__DAT8">#REF!</definedName>
    <definedName name="__dat80">#REF!</definedName>
    <definedName name="__DAT9">#REF!</definedName>
    <definedName name="__dat90">#REF!</definedName>
    <definedName name="__dec03">#REF!</definedName>
    <definedName name="__dec04">#REF!</definedName>
    <definedName name="__dec11">#REF!</definedName>
    <definedName name="__dec12">#REF!</definedName>
    <definedName name="__dec16">#REF!</definedName>
    <definedName name="__dec18">#REF!</definedName>
    <definedName name="__dec19">#REF!</definedName>
    <definedName name="__dec20">#REF!</definedName>
    <definedName name="__dec21">#REF!</definedName>
    <definedName name="__dec23">#REF!</definedName>
    <definedName name="__dec24">#REF!</definedName>
    <definedName name="__dec28">#REF!</definedName>
    <definedName name="__dec30">#REF!</definedName>
    <definedName name="__dec31">#REF!</definedName>
    <definedName name="__dec98">#REF!</definedName>
    <definedName name="__dec99">#REF!</definedName>
    <definedName name="__DEM1202">#REF!</definedName>
    <definedName name="__fbr01">#REF!</definedName>
    <definedName name="__fbr04">#REF!</definedName>
    <definedName name="__fbr06">#REF!</definedName>
    <definedName name="__fbr07">#REF!</definedName>
    <definedName name="__fbr10">#REF!</definedName>
    <definedName name="__fbr11">#REF!</definedName>
    <definedName name="__fbr13">#REF!</definedName>
    <definedName name="__fbr15">#REF!</definedName>
    <definedName name="__fbr18">#REF!</definedName>
    <definedName name="__fbr19">#REF!</definedName>
    <definedName name="__fbr20">#REF!</definedName>
    <definedName name="__fbr21">#REF!</definedName>
    <definedName name="__fbr24">#REF!</definedName>
    <definedName name="__fbr25">#REF!</definedName>
    <definedName name="__fbr26">#REF!</definedName>
    <definedName name="__fbr27">#REF!</definedName>
    <definedName name="__fbr28">#REF!</definedName>
    <definedName name="__FEB05">#REF!</definedName>
    <definedName name="__FEB20">#REF!</definedName>
    <definedName name="__feb226">#REF!</definedName>
    <definedName name="__FEB27">#REF!</definedName>
    <definedName name="__FEB28">#REF!</definedName>
    <definedName name="__feb404">#REF!</definedName>
    <definedName name="__feb98">#REF!</definedName>
    <definedName name="__feb99">#REF!</definedName>
    <definedName name="__FL04">#REF!</definedName>
    <definedName name="__FRE1">#REF!</definedName>
    <definedName name="__FRE2">#REF!</definedName>
    <definedName name="__FRF1202">#REF!</definedName>
    <definedName name="__FRT30109">#REF!</definedName>
    <definedName name="__FRT30110">#REF!</definedName>
    <definedName name="__FRT30209">#REF!</definedName>
    <definedName name="__FRT30210">#REF!</definedName>
    <definedName name="__FRT30309">#REF!</definedName>
    <definedName name="__FRT30310">#REF!</definedName>
    <definedName name="__FRT30509">#REF!</definedName>
    <definedName name="__FRT30510">#REF!</definedName>
    <definedName name="__FRT30609">#REF!</definedName>
    <definedName name="__FRT30610">#REF!</definedName>
    <definedName name="__FRT30709">#REF!</definedName>
    <definedName name="__FRT30710">#REF!</definedName>
    <definedName name="__FRT30909">#REF!</definedName>
    <definedName name="__FRT30910">#REF!</definedName>
    <definedName name="__FRT31009">#REF!</definedName>
    <definedName name="__FRT31010">#REF!</definedName>
    <definedName name="__FRT31109">#REF!</definedName>
    <definedName name="__FRT31110">#REF!</definedName>
    <definedName name="__FRT31209">#REF!</definedName>
    <definedName name="__FRT31210">#REF!</definedName>
    <definedName name="__FRT31309">#REF!</definedName>
    <definedName name="__FRT31310">#REF!</definedName>
    <definedName name="__FRT40109">#REF!</definedName>
    <definedName name="__FRT40110">#REF!</definedName>
    <definedName name="__FRT40209">#REF!</definedName>
    <definedName name="__FRT40210">#REF!</definedName>
    <definedName name="__FRT40309">#REF!</definedName>
    <definedName name="__FRT40310">#REF!</definedName>
    <definedName name="__FRT40409">#REF!</definedName>
    <definedName name="__FRT40410">#REF!</definedName>
    <definedName name="__FRT40509">#REF!</definedName>
    <definedName name="__FRT40510">#REF!</definedName>
    <definedName name="__FRT40609">#REF!</definedName>
    <definedName name="__FRT40610">#REF!</definedName>
    <definedName name="__FX2">#REF!</definedName>
    <definedName name="__GBP1202">#REF!</definedName>
    <definedName name="__GPS2">#REF!</definedName>
    <definedName name="__grp1">#REF!</definedName>
    <definedName name="__HPP02">#REF!</definedName>
    <definedName name="__hpp04">#REF!</definedName>
    <definedName name="__hpp05">#REF!</definedName>
    <definedName name="__hpp10">#REF!</definedName>
    <definedName name="__hpp11">#REF!</definedName>
    <definedName name="__hpp1203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IntlFixup" hidden="1">TRUE</definedName>
    <definedName name="__JA02">#REF!</definedName>
    <definedName name="__JA03">#REF!</definedName>
    <definedName name="__JA04">#REF!</definedName>
    <definedName name="__JA06">#REF!</definedName>
    <definedName name="__JA07">#REF!</definedName>
    <definedName name="__JA08">#REF!</definedName>
    <definedName name="__JA10">#REF!</definedName>
    <definedName name="__JA13">#REF!</definedName>
    <definedName name="__JA14">#REF!</definedName>
    <definedName name="__JA16">#REF!</definedName>
    <definedName name="__JA17">#REF!</definedName>
    <definedName name="__JA18">#REF!</definedName>
    <definedName name="__JA20">#REF!</definedName>
    <definedName name="__JA21">#REF!</definedName>
    <definedName name="__JA22">#REF!</definedName>
    <definedName name="__JA23">#REF!</definedName>
    <definedName name="__JA24">#REF!</definedName>
    <definedName name="__JA27">#REF!</definedName>
    <definedName name="__JA28">#REF!</definedName>
    <definedName name="__JA29">#REF!</definedName>
    <definedName name="__ja30">#REF!</definedName>
    <definedName name="__ja31">#REF!</definedName>
    <definedName name="__JAN04">#REF!</definedName>
    <definedName name="__jan25">#REF!</definedName>
    <definedName name="__jan31">#REF!</definedName>
    <definedName name="__jan98">#REF!</definedName>
    <definedName name="__jan99">#REF!</definedName>
    <definedName name="__jul03">#REF!</definedName>
    <definedName name="__jul98">#REF!</definedName>
    <definedName name="__JUL99">#REF!</definedName>
    <definedName name="__jun03">#REF!</definedName>
    <definedName name="__jun98">#REF!</definedName>
    <definedName name="__jun99">#REF!</definedName>
    <definedName name="__kap25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KOP1">#REF!</definedName>
    <definedName name="__KOP2">#N/A</definedName>
    <definedName name="__kpp25">#REF!</definedName>
    <definedName name="__LAM1">#REF!</definedName>
    <definedName name="__MA0206">#REF!</definedName>
    <definedName name="__MA0303">#N/A</definedName>
    <definedName name="__MA0304">#N/A</definedName>
    <definedName name="__MA0505">#REF!</definedName>
    <definedName name="__MA0601">#REF!</definedName>
    <definedName name="__MA0902">#REF!</definedName>
    <definedName name="__MA0904">#REF!</definedName>
    <definedName name="__MA1004">#REF!</definedName>
    <definedName name="__MA1005">#REF!</definedName>
    <definedName name="__mar03">#REF!</definedName>
    <definedName name="__mar09">#REF!</definedName>
    <definedName name="__mar18">#REF!</definedName>
    <definedName name="__mar23">#REF!</definedName>
    <definedName name="__mar25">#REF!</definedName>
    <definedName name="__mar26">#REF!</definedName>
    <definedName name="__mar27">#REF!</definedName>
    <definedName name="__mar28">#REF!</definedName>
    <definedName name="__mar31">#REF!</definedName>
    <definedName name="__mar98">#REF!</definedName>
    <definedName name="__mar99">#REF!</definedName>
    <definedName name="__may05">#REF!</definedName>
    <definedName name="__may06">#REF!</definedName>
    <definedName name="__may07">#REF!</definedName>
    <definedName name="__may08">#REF!</definedName>
    <definedName name="__may09">#REF!</definedName>
    <definedName name="__may10">#REF!</definedName>
    <definedName name="__may11">#REF!</definedName>
    <definedName name="__may12">#REF!</definedName>
    <definedName name="__may14">#REF!</definedName>
    <definedName name="__may15">#REF!</definedName>
    <definedName name="__may16">#REF!</definedName>
    <definedName name="__may17">#REF!</definedName>
    <definedName name="__mei03">#REF!</definedName>
    <definedName name="__mei98">#REF!</definedName>
    <definedName name="__mei99">#REF!</definedName>
    <definedName name="__MG1">#REF!</definedName>
    <definedName name="__mj2">#REF!</definedName>
    <definedName name="__mm1">#REF!</definedName>
    <definedName name="__mm2">#REF!</definedName>
    <definedName name="__mm3">#REF!</definedName>
    <definedName name="__mm4">#REF!</definedName>
    <definedName name="__mr04">#REF!</definedName>
    <definedName name="__mr05">#REF!</definedName>
    <definedName name="__mr06">#REF!</definedName>
    <definedName name="__mr07">#REF!</definedName>
    <definedName name="__mr11">#REF!</definedName>
    <definedName name="__mr12">#REF!</definedName>
    <definedName name="__mr13">#REF!</definedName>
    <definedName name="__mr14">#REF!</definedName>
    <definedName name="__mr15">#REF!</definedName>
    <definedName name="__mr17">#REF!</definedName>
    <definedName name="__mr18">#REF!</definedName>
    <definedName name="__mr20">#REF!</definedName>
    <definedName name="__mr21">#REF!</definedName>
    <definedName name="__mr25">#REF!</definedName>
    <definedName name="__mr26">#REF!</definedName>
    <definedName name="__mr27">#REF!</definedName>
    <definedName name="__mr28">#REF!</definedName>
    <definedName name="__mr31">#REF!</definedName>
    <definedName name="__net1">#REF!</definedName>
    <definedName name="__No21">#REF!</definedName>
    <definedName name="__Not21">#REF!</definedName>
    <definedName name="__nov04">#REF!</definedName>
    <definedName name="__nov05">#REF!</definedName>
    <definedName name="__nov07">#REF!</definedName>
    <definedName name="__nov08">#REF!</definedName>
    <definedName name="__nov11">#REF!</definedName>
    <definedName name="__nov12">#REF!</definedName>
    <definedName name="__nov13">#REF!</definedName>
    <definedName name="__nov14">#REF!</definedName>
    <definedName name="__nov15">#REF!</definedName>
    <definedName name="__nov16">#REF!</definedName>
    <definedName name="__nov18">#REF!</definedName>
    <definedName name="__nov19">#REF!</definedName>
    <definedName name="__nov20">#REF!</definedName>
    <definedName name="__nov21">#REF!</definedName>
    <definedName name="__nov22">#REF!</definedName>
    <definedName name="__nov23">#REF!</definedName>
    <definedName name="__nov25">#REF!</definedName>
    <definedName name="__nov26">#REF!</definedName>
    <definedName name="__nov27">#REF!</definedName>
    <definedName name="__nov28">#REF!</definedName>
    <definedName name="__nov29">#REF!</definedName>
    <definedName name="__nov30">#REF!</definedName>
    <definedName name="__nov98">#REF!</definedName>
    <definedName name="__nov99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NRC2">#REF!</definedName>
    <definedName name="__NUR1">#REF!</definedName>
    <definedName name="__oct99">#REF!</definedName>
    <definedName name="__okt01">#REF!</definedName>
    <definedName name="__okt02">#REF!</definedName>
    <definedName name="__okt03">#REF!</definedName>
    <definedName name="__okt04">#REF!</definedName>
    <definedName name="__okt05">#REF!</definedName>
    <definedName name="__okt07">#REF!</definedName>
    <definedName name="__okt09">#REF!</definedName>
    <definedName name="__okt10">#REF!</definedName>
    <definedName name="__okt11">#REF!</definedName>
    <definedName name="__okt12">#REF!</definedName>
    <definedName name="__okt14">#REF!</definedName>
    <definedName name="__okt16">#REF!</definedName>
    <definedName name="__okt17">#REF!</definedName>
    <definedName name="__okt18">#REF!</definedName>
    <definedName name="__okt19">#REF!</definedName>
    <definedName name="__okt21">#REF!</definedName>
    <definedName name="__okt22">#REF!</definedName>
    <definedName name="__okt24">#REF!</definedName>
    <definedName name="__okt25">#REF!</definedName>
    <definedName name="__okt27">#REF!</definedName>
    <definedName name="__okt28">#REF!</definedName>
    <definedName name="__okt29">#REF!</definedName>
    <definedName name="__okt30">#REF!</definedName>
    <definedName name="__okt31">#REF!</definedName>
    <definedName name="__okt98">#REF!</definedName>
    <definedName name="__osp1">#REF!</definedName>
    <definedName name="__pem1">#REF!</definedName>
    <definedName name="__pem2">#REF!</definedName>
    <definedName name="__pem3">#REF!</definedName>
    <definedName name="__PER1">#REF!</definedName>
    <definedName name="__PER12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L1">#REF!</definedName>
    <definedName name="__PL2">#REF!</definedName>
    <definedName name="__PM1">#REF!</definedName>
    <definedName name="__PM2">#REF!</definedName>
    <definedName name="__PN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Ph21">#REF!</definedName>
    <definedName name="__PPh23">#REF!</definedName>
    <definedName name="__PPH25">#REF!</definedName>
    <definedName name="__PPh26">#REF!</definedName>
    <definedName name="__PR1">#REF!</definedName>
    <definedName name="__PSD1">#REF!</definedName>
    <definedName name="__PSD3">#REF!</definedName>
    <definedName name="__PSD5">#REF!</definedName>
    <definedName name="__QTY1">#REF!</definedName>
    <definedName name="__QTY2">#REF!</definedName>
    <definedName name="__RET06">#REF!</definedName>
    <definedName name="__RIZ1">#N/A</definedName>
    <definedName name="__RIZ2">#N/A</definedName>
    <definedName name="__RIZ3">#N/A</definedName>
    <definedName name="__RL1">#REF!</definedName>
    <definedName name="__RL2">#REF!</definedName>
    <definedName name="__RMS1">#REF!</definedName>
    <definedName name="__rqw300">#REF!</definedName>
    <definedName name="__RT1" hidden="1">#REF!</definedName>
    <definedName name="__sen03">#REF!</definedName>
    <definedName name="__sep26">#REF!</definedName>
    <definedName name="__sep28">#REF!</definedName>
    <definedName name="__sep30">#REF!</definedName>
    <definedName name="__sep98">#REF!</definedName>
    <definedName name="__SGD1">#REF!</definedName>
    <definedName name="__SGD1202">#REF!</definedName>
    <definedName name="__SGD2">#REF!</definedName>
    <definedName name="__SP1">#REF!</definedName>
    <definedName name="__SP2">#REF!</definedName>
    <definedName name="__Spm2">#REF!</definedName>
    <definedName name="__SPm21">#REF!</definedName>
    <definedName name="__sto10">#REF!</definedName>
    <definedName name="__sto11">#REF!</definedName>
    <definedName name="__TB0904">#REF!</definedName>
    <definedName name="__THB1">#REF!</definedName>
    <definedName name="__THB2">#REF!</definedName>
    <definedName name="__UOM2">#REF!</definedName>
    <definedName name="__USD1">#REF!</definedName>
    <definedName name="__USD1202">#REF!</definedName>
    <definedName name="__USD2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BS1">#REF!</definedName>
    <definedName name="__WBS2">#REF!</definedName>
    <definedName name="__WIR1">#N/A</definedName>
    <definedName name="__WP1">#REF!</definedName>
    <definedName name="__wpl2">#REF!</definedName>
    <definedName name="__wrn1" hidden="1">{#N/A,#N/A,FALSE,"DATA"}</definedName>
    <definedName name="__wrn2" hidden="1">{#N/A,#N/A,FALSE,"DATA"}</definedName>
    <definedName name="__wrn3" hidden="1">{#N/A,#N/A,FALSE,"DATA"}</definedName>
    <definedName name="__WS1">#REF!</definedName>
    <definedName name="__WS2">#REF!</definedName>
    <definedName name="__xlfn.BAHTTEXT" hidden="1">#NAME?</definedName>
    <definedName name="__Yr1999">#REF!</definedName>
    <definedName name="__Yr2001">#REF!</definedName>
    <definedName name="__yy1">#REF!</definedName>
    <definedName name="__yy2">#REF!</definedName>
    <definedName name="__yy3">#REF!</definedName>
    <definedName name="__yy4">#REF!</definedName>
    <definedName name="_0">"$#REF!.$#REF!$#REF!"</definedName>
    <definedName name="_02">#N/A</definedName>
    <definedName name="_1">#N/A</definedName>
    <definedName name="_1__123Graph_Aｸﾞﾗﾌ_1" hidden="1">#REF!</definedName>
    <definedName name="_1_Excel_BuiltIn_Print_Area_2_1_1">#REF!</definedName>
    <definedName name="_102Module1__2__.pl03ytd">#N/A</definedName>
    <definedName name="_105Module1__2__.pl03ytd">#N/A</definedName>
    <definedName name="_106Module1__2__.pltm">#N/A</definedName>
    <definedName name="_109Module1__2__.pltm">#N/A</definedName>
    <definedName name="_10Module1__2__.pl01tm">#REF!</definedName>
    <definedName name="_112Module1__2__.pltm">#N/A</definedName>
    <definedName name="_113Module1__2__.plytd">#N/A</definedName>
    <definedName name="_116Module1__2__.plytd">#N/A</definedName>
    <definedName name="_1195.B1">#REF!</definedName>
    <definedName name="_1195a">#REF!</definedName>
    <definedName name="_119Module1__2__.plytd">#N/A</definedName>
    <definedName name="_11Module1__2__.by02ytd">#N/A</definedName>
    <definedName name="_11Module1__2__.by06ytd">#N/A</definedName>
    <definedName name="_11Module1__2__.pl01ytd">#REF!</definedName>
    <definedName name="_12Module1__2__.pl02tm">#REF!</definedName>
    <definedName name="_13">#REF!</definedName>
    <definedName name="_135Excel_BuiltIn__FilterDatabase_1_1">#N/A</definedName>
    <definedName name="_13Module1__2__.by07ytd">#N/A</definedName>
    <definedName name="_13Module1__2__.pl02ytd">#REF!</definedName>
    <definedName name="_14">#N/A</definedName>
    <definedName name="_148Excel_BuiltIn_Print_Area_48_1">#N/A</definedName>
    <definedName name="_14Module1__2__.by02ytd">#N/A</definedName>
    <definedName name="_14Module1__2__.pl03tm">#REF!</definedName>
    <definedName name="_15">#REF!</definedName>
    <definedName name="_15Module1__2__.by08ytd">#N/A</definedName>
    <definedName name="_15Module1__2__.pl03ytd">#REF!</definedName>
    <definedName name="_16Module1__2__.pltm">#REF!</definedName>
    <definedName name="_17Module1__2__.by09ytd">#N/A</definedName>
    <definedName name="_17Module1__2__.plytd">#REF!</definedName>
    <definedName name="_18__123Graph_Aｸﾞﾗﾌ_1" hidden="1">#REF!</definedName>
    <definedName name="_18Excel_BuiltIn_Print_Area_2_1_1_1_1">#REF!</definedName>
    <definedName name="_18Module1__2__.by03ytd">#N/A</definedName>
    <definedName name="_19__123Graph_Aｸﾞﾗﾌ_2" hidden="1">#REF!</definedName>
    <definedName name="_19Module1__2__.pl01tm">#N/A</definedName>
    <definedName name="_1Excel_BuiltIn_Print_Area_1_1">#REF!</definedName>
    <definedName name="_1Excel_BuiltIn_Print_Area_1_1_1_1_1">#REF!</definedName>
    <definedName name="_1Excel_BuiltIn_Print_Area_48_1">#N/A</definedName>
    <definedName name="_1K">#REF!</definedName>
    <definedName name="_1Module1__2__.by01ytd">#N/A</definedName>
    <definedName name="_1P">#REF!</definedName>
    <definedName name="_1WP">#REF!</definedName>
    <definedName name="_2">#N/A</definedName>
    <definedName name="_2__123Graph_Aｸﾞﾗﾌ_2" hidden="1">#REF!</definedName>
    <definedName name="_2_Excel_BuiltIn_Print_Area_2_1_1_1_1">#REF!</definedName>
    <definedName name="_20__123Graph_Bｸﾞﾗﾌ_1" hidden="1">#REF!</definedName>
    <definedName name="_21__123Graph_Bｸﾞﾗﾌ_2" hidden="1">#REF!</definedName>
    <definedName name="_21Module1__2__.by03ytd">#N/A</definedName>
    <definedName name="_21Module1__2__.pl01ytd">#N/A</definedName>
    <definedName name="_22__123Graph_Cｸﾞﾗﾌ_1" hidden="1">#REF!</definedName>
    <definedName name="_22Module1__2__.by04ytd">#N/A</definedName>
    <definedName name="_23__123Graph_LBL_Bｸﾞﾗﾌ_2" hidden="1">#REF!</definedName>
    <definedName name="_23Module1__2__.pl02tm">#N/A</definedName>
    <definedName name="_24__123Graph_LBL_Cｸﾞﾗﾌ_1" hidden="1">#REF!</definedName>
    <definedName name="_25__123Graph_Xｸﾞﾗﾌ_1" hidden="1">#REF!</definedName>
    <definedName name="_25Module1__2__.by04ytd">#N/A</definedName>
    <definedName name="_25Module1__2__.pl02ytd">#N/A</definedName>
    <definedName name="_26__123Graph_Xｸﾞﾗﾌ_2" hidden="1">#REF!</definedName>
    <definedName name="_27Module1__2__.pl03tm">#N/A</definedName>
    <definedName name="_28Module1__2__.by04ytd">#N/A</definedName>
    <definedName name="_2930">#REF!</definedName>
    <definedName name="_2933">#REF!</definedName>
    <definedName name="_29Module1__2__.by05ytd">#N/A</definedName>
    <definedName name="_29Module1__2__.pl03ytd">#N/A</definedName>
    <definedName name="_2Excel_BuiltIn_Print_Area_1_1_1_1_1">#REF!</definedName>
    <definedName name="_2Excel_BuiltIn_Print_Area_1_1_1_1_1_1_1_1">#REF!</definedName>
    <definedName name="_2K">#REF!</definedName>
    <definedName name="_2Module1__2__.by02ytd">#REF!</definedName>
    <definedName name="_3">#N/A</definedName>
    <definedName name="_3__123Graph_Bｸﾞﾗﾌ_1" hidden="1">#REF!</definedName>
    <definedName name="_30Excel_BuiltIn_Print_Area_48_1">#N/A</definedName>
    <definedName name="_31Module1__2__.pltm">#N/A</definedName>
    <definedName name="_32Module1__2__.by05ytd">#N/A</definedName>
    <definedName name="_33Module1__2__.plytd">#N/A</definedName>
    <definedName name="_35Module1__2__.by05ytd">#N/A</definedName>
    <definedName name="_36Module1__2__.by06ytd">#N/A</definedName>
    <definedName name="_39Module1__2__.by06ytd">#N/A</definedName>
    <definedName name="_3Excel_BuiltIn_Print_Area_13_4_1">#REF!</definedName>
    <definedName name="_3Excel_BuiltIn_Print_Area_2_1_1">#REF!</definedName>
    <definedName name="_3Module1__2__.by02ytd">#N/A</definedName>
    <definedName name="_3Module1__2__.by03ytd">#REF!</definedName>
    <definedName name="_4__123Graph_Bｸﾞﾗﾌ_2" hidden="1">#REF!</definedName>
    <definedName name="_4_Excel_BuiltIn_Print_Area_1_1">#REF!</definedName>
    <definedName name="_42Module1__2__.by06ytd">#N/A</definedName>
    <definedName name="_432">432</definedName>
    <definedName name="_43Module1__2__.by07ytd">#N/A</definedName>
    <definedName name="_46Module1__2__.by07ytd">#N/A</definedName>
    <definedName name="_49Module1__2__.by07ytd">#N/A</definedName>
    <definedName name="_4Excel_BuiltIn_Print_Area_1_1_1_1_1_1_1_1">#REF!</definedName>
    <definedName name="_4Excel_BuiltIn_Print_Area_2_1_1">#REF!</definedName>
    <definedName name="_4Module1__2__.by01ytd">#N/A</definedName>
    <definedName name="_4Module1__2__.by04ytd">#REF!</definedName>
    <definedName name="_5">#N/A</definedName>
    <definedName name="_5__123Graph_Cｸﾞﾗﾌ_1" hidden="1">#REF!</definedName>
    <definedName name="_50Module1__2__.by08ytd">#N/A</definedName>
    <definedName name="_53Module1__2__.by08ytd">#N/A</definedName>
    <definedName name="_56Module1__2__.by08ytd">#N/A</definedName>
    <definedName name="_57Module1__2__.by09ytd">#N/A</definedName>
    <definedName name="_5Excel_BuiltIn_Print_Area_13_4_1">#REF!</definedName>
    <definedName name="_5Excel_BuiltIn_Print_Area_2_1_1">#REF!</definedName>
    <definedName name="_5Excel_BuiltIn_Print_Area_2_1_1_1_1">#REF!</definedName>
    <definedName name="_5Excel_BuiltIn_Print_Area_48_1">#N/A</definedName>
    <definedName name="_5Module1__2__.by03ytd">#N/A</definedName>
    <definedName name="_5Module1__2__.by05ytd">#REF!</definedName>
    <definedName name="_6">#N/A</definedName>
    <definedName name="_6__123Graph_LBL_Bｸﾞﾗﾌ_2" hidden="1">#REF!</definedName>
    <definedName name="_60Module1__2__.by09ytd">#N/A</definedName>
    <definedName name="_63Module1__2__.by09ytd">#N/A</definedName>
    <definedName name="_64Module1__2__.pl01tm">#N/A</definedName>
    <definedName name="_67Module1__2__.pl01tm">#N/A</definedName>
    <definedName name="_6Excel_BuiltIn_Print_Area_2_1_1_1_1">#REF!</definedName>
    <definedName name="_6Module1__2__.by06ytd">#REF!</definedName>
    <definedName name="_7">#N/A</definedName>
    <definedName name="_7__123Graph_LBL_Cｸﾞﾗﾌ_1" hidden="1">#REF!</definedName>
    <definedName name="_70Module1__2__.pl01tm">#N/A</definedName>
    <definedName name="_71Module1__2__.pl01ytd">#N/A</definedName>
    <definedName name="_74Module1__2__.pl01ytd">#N/A</definedName>
    <definedName name="_77Module1__2__.pl01ytd">#N/A</definedName>
    <definedName name="_78Module1__2__.pl02tm">#N/A</definedName>
    <definedName name="_7Excel_BuiltIn_Print_Area_2_1_1">#REF!</definedName>
    <definedName name="_7Module1__2__.by01ytd">#N/A</definedName>
    <definedName name="_7Module1__2__.by04ytd">#N/A</definedName>
    <definedName name="_7Module1__2__.by07ytd">#REF!</definedName>
    <definedName name="_8__123Graph_Xｸﾞﾗﾌ_1" hidden="1">#REF!</definedName>
    <definedName name="_81Module1__2__.pl02tm">#N/A</definedName>
    <definedName name="_8311">#REF!</definedName>
    <definedName name="_84Module1__2__.pl02tm">#N/A</definedName>
    <definedName name="_85Module1__2__.pl02ytd">#N/A</definedName>
    <definedName name="_88Module1__2__.pl02ytd">#N/A</definedName>
    <definedName name="_8Excel_BuiltIn_Print_Area_2_1_1">#REF!</definedName>
    <definedName name="_8Excel_BuiltIn_Print_Area_2_1_1_1_1">#REF!</definedName>
    <definedName name="_8Module1__2__.by02ytd">#N/A</definedName>
    <definedName name="_8Module1__2__.by08ytd">#REF!</definedName>
    <definedName name="_9__123Graph_Xｸﾞﾗﾌ_2" hidden="1">#REF!</definedName>
    <definedName name="_91Module1__2__.pl02ytd">#N/A</definedName>
    <definedName name="_92Module1__2__.pl03tm">#N/A</definedName>
    <definedName name="_95Module1__2__.pl03tm">#N/A</definedName>
    <definedName name="_96">#N/A</definedName>
    <definedName name="_962">#N/A</definedName>
    <definedName name="_98Module1__2__.pl03tm">#N/A</definedName>
    <definedName name="_99Module1__2__.pl03ytd">#N/A</definedName>
    <definedName name="_9Excel_BuiltIn_Print_Area_1_1">#REF!</definedName>
    <definedName name="_9Excel_BuiltIn_Print_Area_2_1_1">#REF!</definedName>
    <definedName name="_9Excel_BuiltIn_Print_Area_2_1_1_1_1">#REF!</definedName>
    <definedName name="_9Module1__2__.by05ytd">#N/A</definedName>
    <definedName name="_9Module1__2__.by09ytd">#REF!</definedName>
    <definedName name="_a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DM10">#REF!</definedName>
    <definedName name="_ADM8">#REF!</definedName>
    <definedName name="_ADM9">#REF!</definedName>
    <definedName name="_agt03">#REF!</definedName>
    <definedName name="_agt98">#REF!</definedName>
    <definedName name="_apa1">#REF!</definedName>
    <definedName name="_apa2">#REF!</definedName>
    <definedName name="_APL02">#REF!</definedName>
    <definedName name="_apr04">#REF!</definedName>
    <definedName name="_apr98">#REF!</definedName>
    <definedName name="_apr99">#REF!</definedName>
    <definedName name="_ar8">#REF!</definedName>
    <definedName name="_AUD1">#REF!</definedName>
    <definedName name="_AUD1202">#REF!</definedName>
    <definedName name="_AUD2">#REF!</definedName>
    <definedName name="_aug03">#REF!</definedName>
    <definedName name="_aug04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vr0102">#REF!</definedName>
    <definedName name="_Avr0202">#REF!</definedName>
    <definedName name="_Avr0302">#REF!</definedName>
    <definedName name="_Avr0402">#REF!</definedName>
    <definedName name="_Avr0502">#REF!</definedName>
    <definedName name="_Avr0602">#REF!</definedName>
    <definedName name="_Avr0701">#REF!</definedName>
    <definedName name="_Avr0702">#REF!</definedName>
    <definedName name="_Avr0801">#REF!</definedName>
    <definedName name="_Avr0802">#REF!</definedName>
    <definedName name="_Avr0901">#REF!</definedName>
    <definedName name="_Avr0902">#REF!</definedName>
    <definedName name="_Avr1001">#REF!</definedName>
    <definedName name="_Avr1002">#REF!</definedName>
    <definedName name="_Avr1101">#REF!</definedName>
    <definedName name="_Avr1102">#REF!</definedName>
    <definedName name="_Avr1201">#REF!</definedName>
    <definedName name="_avr1202">#REF!</definedName>
    <definedName name="_b">#REF!</definedName>
    <definedName name="_b3" hidden="1">{#N/A,#N/A,FALSE,"Aging Summary";#N/A,#N/A,FALSE,"Ratio Analysis";#N/A,#N/A,FALSE,"Test 120 Day Accts";#N/A,#N/A,FALSE,"Tickmarks"}</definedName>
    <definedName name="_bad12">#REF!</definedName>
    <definedName name="_BS01">#REF!</definedName>
    <definedName name="_BS99" hidden="1">{#N/A,#N/A,FALSE,"Aging Summary";#N/A,#N/A,FALSE,"Ratio Analysis";#N/A,#N/A,FALSE,"Test 120 Day Accts";#N/A,#N/A,FALSE,"Tickmarks"}</definedName>
    <definedName name="_c">#REF!</definedName>
    <definedName name="_C_L10__RIGHT_">#N/A</definedName>
    <definedName name="_C_L12__RIGHT_">#N/A</definedName>
    <definedName name="_C_L14__RIGHT_">#N/A</definedName>
    <definedName name="_C_L16__END__LE">#N/A</definedName>
    <definedName name="_C_L4__RIGHT_">#N/A</definedName>
    <definedName name="_C_L6__RIGHT_">#N/A</definedName>
    <definedName name="_C_L8__RIGHT_">#N/A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oa1205">#REF!</definedName>
    <definedName name="_COS2">#REF!</definedName>
    <definedName name="_CRA">#REF!</definedName>
    <definedName name="_CUR1">#REF!</definedName>
    <definedName name="_CUR2">#REF!</definedName>
    <definedName name="_d">#REF!</definedName>
    <definedName name="_DAF_ISI">#REF!</definedName>
    <definedName name="_DAT1">#REF!</definedName>
    <definedName name="_DAT10">#REF!</definedName>
    <definedName name="_DAT11">#REF!</definedName>
    <definedName name="_dat110">#REF!</definedName>
    <definedName name="_DAT12">#REF!</definedName>
    <definedName name="_dat1205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7">#REF!</definedName>
    <definedName name="_dat70">#REF!</definedName>
    <definedName name="_DAT8">#REF!</definedName>
    <definedName name="_dat80">#REF!</definedName>
    <definedName name="_DAT9">#REF!</definedName>
    <definedName name="_dat90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ec03">#REF!</definedName>
    <definedName name="_dec04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8">#REF!</definedName>
    <definedName name="_dec99">#REF!</definedName>
    <definedName name="_DEM1202">#REF!</definedName>
    <definedName name="_Dist_Bin" hidden="1">#REF!</definedName>
    <definedName name="_Dist_Values" hidden="1">#REF!</definedName>
    <definedName name="_e">#REF!</definedName>
    <definedName name="_exp1">#REF!</definedName>
    <definedName name="_exp10">#REF!</definedName>
    <definedName name="_exp11">#REF!</definedName>
    <definedName name="_exp12">#REF!</definedName>
    <definedName name="_exp2">#REF!</definedName>
    <definedName name="_exp3">#REF!</definedName>
    <definedName name="_exp4">#REF!</definedName>
    <definedName name="_exp5">#REF!</definedName>
    <definedName name="_exp6">#REF!</definedName>
    <definedName name="_exp7">#REF!</definedName>
    <definedName name="_exp8">#REF!</definedName>
    <definedName name="_exp9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EB05">#REF!</definedName>
    <definedName name="_FEB20">#REF!</definedName>
    <definedName name="_feb226">#REF!</definedName>
    <definedName name="_FEB27">#REF!</definedName>
    <definedName name="_FEB28">#REF!</definedName>
    <definedName name="_feb404">#REF!</definedName>
    <definedName name="_feb98">#REF!</definedName>
    <definedName name="_feb99">#REF!</definedName>
    <definedName name="_Fill" hidden="1">#REF!</definedName>
    <definedName name="_Fill1" hidden="1">#REF!</definedName>
    <definedName name="_fill2" hidden="1">#REF!</definedName>
    <definedName name="_FL04">#REF!</definedName>
    <definedName name="_FRE1">#REF!</definedName>
    <definedName name="_FRE2">#REF!</definedName>
    <definedName name="_FRF1202">#REF!</definedName>
    <definedName name="_FX2">#REF!</definedName>
    <definedName name="_GBP1202">#REF!</definedName>
    <definedName name="_GPS2">#REF!</definedName>
    <definedName name="_grp1">#REF!</definedName>
    <definedName name="_HPP02">#REF!</definedName>
    <definedName name="_hpp04">#REF!</definedName>
    <definedName name="_hpp05">#REF!</definedName>
    <definedName name="_hpp10">#REF!</definedName>
    <definedName name="_hpp11">#REF!</definedName>
    <definedName name="_hpp1203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0">#REF!</definedName>
    <definedName name="_JA13">#REF!</definedName>
    <definedName name="_JA14">#REF!</definedName>
    <definedName name="_JA16">#REF!</definedName>
    <definedName name="_JA17">#REF!</definedName>
    <definedName name="_JA18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0">#REF!</definedName>
    <definedName name="_ja31">#REF!</definedName>
    <definedName name="_JAN04">#REF!</definedName>
    <definedName name="_jan25">#REF!</definedName>
    <definedName name="_jan31">#REF!</definedName>
    <definedName name="_jan98">#REF!</definedName>
    <definedName name="_jan99">#REF!</definedName>
    <definedName name="_jul03">#REF!</definedName>
    <definedName name="_jul98">#REF!</definedName>
    <definedName name="_JUL99">#REF!</definedName>
    <definedName name="_jun03">#REF!</definedName>
    <definedName name="_jun98">#REF!</definedName>
    <definedName name="_jun99">#REF!</definedName>
    <definedName name="_kap25">#REF!</definedName>
    <definedName name="_Key1" hidden="1">#REF!</definedName>
    <definedName name="_Key2" hidden="1">#REF!</definedName>
    <definedName name="_key3" hidden="1">#REF!</definedName>
    <definedName name="_klu3">#REF!</definedName>
    <definedName name="_klu4">#REF!</definedName>
    <definedName name="_klu5">#REF!</definedName>
    <definedName name="_KOP1">#REF!</definedName>
    <definedName name="_KOP2">#N/A</definedName>
    <definedName name="_kpp25">#REF!</definedName>
    <definedName name="_LAM1">#REF!</definedName>
    <definedName name="_MA0206">#REF!</definedName>
    <definedName name="_MA0303">#N/A</definedName>
    <definedName name="_MA0304">#N/A</definedName>
    <definedName name="_MA0505">#REF!</definedName>
    <definedName name="_MA0601">#REF!</definedName>
    <definedName name="_MA0902">#REF!</definedName>
    <definedName name="_MA0904">#REF!</definedName>
    <definedName name="_MA1004">#REF!</definedName>
    <definedName name="_MA1005">#REF!</definedName>
    <definedName name="_mar03">#REF!</definedName>
    <definedName name="_mar09">#REF!</definedName>
    <definedName name="_mar18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8">#REF!</definedName>
    <definedName name="_mar99">#REF!</definedName>
    <definedName name="_MatInverse_In" hidden="1">#REF!</definedName>
    <definedName name="_MatMult_A" hidden="1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ei03">#REF!</definedName>
    <definedName name="_mei98">#REF!</definedName>
    <definedName name="_mei99">#REF!</definedName>
    <definedName name="_MG1">#REF!</definedName>
    <definedName name="_mj2">#REF!</definedName>
    <definedName name="_mm3">#REF!</definedName>
    <definedName name="_mm4">#REF!</definedName>
    <definedName name="_mr04">#REF!</definedName>
    <definedName name="_mr05">#REF!</definedName>
    <definedName name="_mr06">#REF!</definedName>
    <definedName name="_mr07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o21">#REF!</definedName>
    <definedName name="_Not21">#REF!</definedName>
    <definedName name="_nov04">#REF!</definedName>
    <definedName name="_nov05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8">#REF!</definedName>
    <definedName name="_nov99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NRC2">#REF!</definedName>
    <definedName name="_NUR1">#REF!</definedName>
    <definedName name="_oct99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7">#REF!</definedName>
    <definedName name="_okt09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>#REF!</definedName>
    <definedName name="_Order1" hidden="1">255</definedName>
    <definedName name="_Order2" hidden="1">255</definedName>
    <definedName name="_osp1">#REF!</definedName>
    <definedName name="_p">#REF!</definedName>
    <definedName name="_pem1">#REF!</definedName>
    <definedName name="_pem2">#REF!</definedName>
    <definedName name="_pem3">#REF!</definedName>
    <definedName name="_PER1">#REF!</definedName>
    <definedName name="_PER12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L1">#REF!</definedName>
    <definedName name="_PL2">#REF!</definedName>
    <definedName name="_PM1">#REF!</definedName>
    <definedName name="_PM2">#REF!</definedName>
    <definedName name="_PN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Ph21">#REF!</definedName>
    <definedName name="_PPH23">#REF!</definedName>
    <definedName name="_PPH25">#REF!</definedName>
    <definedName name="_PPh26">#REF!</definedName>
    <definedName name="_PR1">#REF!</definedName>
    <definedName name="_PSD1">#REF!</definedName>
    <definedName name="_PSD3">#REF!</definedName>
    <definedName name="_PSD5">#REF!</definedName>
    <definedName name="_QE11">#REF!</definedName>
    <definedName name="_qq1">#REF!</definedName>
    <definedName name="_qq10">#REF!</definedName>
    <definedName name="_qq1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#REF!</definedName>
    <definedName name="_QTY2">#REF!</definedName>
    <definedName name="_QW1">#REF!</definedName>
    <definedName name="_QW10">#REF!</definedName>
    <definedName name="_QW3">#REF!</definedName>
    <definedName name="_QW5">#REF!</definedName>
    <definedName name="_QW9">#REF!</definedName>
    <definedName name="_ref1205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T06">#REF!</definedName>
    <definedName name="_RIZ1">#N/A</definedName>
    <definedName name="_RIZ2">#N/A</definedName>
    <definedName name="_RIZ3">#N/A</definedName>
    <definedName name="_RL1">#REF!</definedName>
    <definedName name="_RL2">#REF!</definedName>
    <definedName name="_RMS1">#REF!</definedName>
    <definedName name="_rqw300">#REF!</definedName>
    <definedName name="_RT1" hidden="1">#REF!</definedName>
    <definedName name="_RV_P14__END__L">#N/A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en03">#REF!</definedName>
    <definedName name="_SEP02">#REF!</definedName>
    <definedName name="_sep26">#REF!</definedName>
    <definedName name="_sep28">#REF!</definedName>
    <definedName name="_sep30">#REF!</definedName>
    <definedName name="_sep98">#REF!</definedName>
    <definedName name="_SGD1">#REF!</definedName>
    <definedName name="_SGD1202">#REF!</definedName>
    <definedName name="_SGD2">#REF!</definedName>
    <definedName name="_SGN2">#REF!</definedName>
    <definedName name="_Sort" hidden="1">#REF!</definedName>
    <definedName name="_SP1">#REF!</definedName>
    <definedName name="_SP2">#REF!</definedName>
    <definedName name="_Spm2">#REF!</definedName>
    <definedName name="_SPm21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to10">#REF!</definedName>
    <definedName name="_sto11">#REF!</definedName>
    <definedName name="_t">#REF!</definedName>
    <definedName name="_Table1_Out" hidden="1">#REF!</definedName>
    <definedName name="_TB2003">#REF!</definedName>
    <definedName name="_TB2205">#REF!</definedName>
    <definedName name="_THB1">#REF!</definedName>
    <definedName name="_THB2">#REF!</definedName>
    <definedName name="_UOM2">#REF!</definedName>
    <definedName name="_USD1">#REF!</definedName>
    <definedName name="_USD1202">#REF!</definedName>
    <definedName name="_USD2">#REF!</definedName>
    <definedName name="_USD7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BS1">#REF!</definedName>
    <definedName name="_WBS2">#REF!</definedName>
    <definedName name="_WIR1">#N/A</definedName>
    <definedName name="_WP1">#REF!</definedName>
    <definedName name="_wpl2">#REF!</definedName>
    <definedName name="_wrn1" hidden="1">{#N/A,#N/A,FALSE,"DATA"}</definedName>
    <definedName name="_wrn2" hidden="1">{#N/A,#N/A,FALSE,"DATA"}</definedName>
    <definedName name="_wrn3" hidden="1">{#N/A,#N/A,FALSE,"DATA"}</definedName>
    <definedName name="_WS1">#REF!</definedName>
    <definedName name="_WS2">#REF!</definedName>
    <definedName name="_x">#REF!</definedName>
    <definedName name="_y">#N/A</definedName>
    <definedName name="_Yr1999">#REF!</definedName>
    <definedName name="_Yr2001">#REF!</definedName>
    <definedName name="_yy3">#REF!</definedName>
    <definedName name="_yy4">#REF!</definedName>
    <definedName name="_z">#REF!</definedName>
    <definedName name="_Z1">#REF!</definedName>
    <definedName name="_Z2">#REF!</definedName>
    <definedName name="_Z3">#REF!</definedName>
    <definedName name="_Z4">#REF!</definedName>
    <definedName name="_Z5">#REF!</definedName>
    <definedName name="_Z6">#REF!</definedName>
    <definedName name="_Z7">#REF!</definedName>
    <definedName name="a">#REF!</definedName>
    <definedName name="a._Penjualan">#REF!</definedName>
    <definedName name="a_40">#REF!</definedName>
    <definedName name="a_48">#REF!</definedName>
    <definedName name="a_49">#REF!</definedName>
    <definedName name="a_50">#REF!</definedName>
    <definedName name="a_51">#REF!</definedName>
    <definedName name="a_7">#REF!</definedName>
    <definedName name="a_9">#REF!</definedName>
    <definedName name="A1_">#REF!</definedName>
    <definedName name="A2_Rating">#REF!</definedName>
    <definedName name="A2_Role">#REF!</definedName>
    <definedName name="AA" hidden="1">#REF!</definedName>
    <definedName name="aaa" hidden="1">#REF!</definedName>
    <definedName name="aaa___26">#N/A</definedName>
    <definedName name="aaa___6">#N/A</definedName>
    <definedName name="aaa___7">#N/A</definedName>
    <definedName name="aaa___9">#N/A</definedName>
    <definedName name="aaa_39">#N/A</definedName>
    <definedName name="aaa_4">#N/A</definedName>
    <definedName name="aaa_40">#N/A</definedName>
    <definedName name="aaa_48">#N/A</definedName>
    <definedName name="aaa_49">#N/A</definedName>
    <definedName name="aaa_50">#N/A</definedName>
    <definedName name="aaa_51">#N/A</definedName>
    <definedName name="aaa_7">#N/A</definedName>
    <definedName name="AAAA" hidden="1">14</definedName>
    <definedName name="aaaaa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a" hidden="1">{#N/A,#N/A,FALSE,"Aging Summary";#N/A,#N/A,FALSE,"Ratio Analysis";#N/A,#N/A,FALSE,"Test 120 Day Accts";#N/A,#N/A,FALSE,"Tickmarks"}</definedName>
    <definedName name="aaaaaaaa" hidden="1">{#N/A,#N/A,FALSE,"Aging Summary";#N/A,#N/A,FALSE,"Ratio Analysis";#N/A,#N/A,FALSE,"Test 120 Day Accts";#N/A,#N/A,FALSE,"Tickmarks"}</definedName>
    <definedName name="aadads" hidden="1">{"'Key fig. Rpt'!$B$5:$K$94"}</definedName>
    <definedName name="ABB_T_D_Limited">#REF!</definedName>
    <definedName name="ABC">#REF!</definedName>
    <definedName name="abcd">#REF!</definedName>
    <definedName name="acc">#REF!</definedName>
    <definedName name="Acc.Interest">#REF!</definedName>
    <definedName name="acc.num">#REF!</definedName>
    <definedName name="acc.num_13">#REF!</definedName>
    <definedName name="acc.num_22">#REF!</definedName>
    <definedName name="AccessDatabase" hidden="1">"C:\My Documents\MAUI MALL1.mdb"</definedName>
    <definedName name="ACCG_CHARGE">#REF!</definedName>
    <definedName name="account">#REF!</definedName>
    <definedName name="Account_Balance">#REF!</definedName>
    <definedName name="Accountpayable">#REF!</definedName>
    <definedName name="accrual">#REF!</definedName>
    <definedName name="accrual2">#REF!</definedName>
    <definedName name="acctgrp">#REF!</definedName>
    <definedName name="ACCTS">#REF!</definedName>
    <definedName name="accumDepStart">#REF!</definedName>
    <definedName name="ACT">#REF!</definedName>
    <definedName name="Act_Cost">SUM(#REF!)-#REF!</definedName>
    <definedName name="ACT_PERD">#REF!</definedName>
    <definedName name="ACT_SCNR">#REF!</definedName>
    <definedName name="ACTARIS__SAS_Africa_middle_East_Division">#REF!</definedName>
    <definedName name="Actaris_Contadores___SA">#REF!</definedName>
    <definedName name="Actaris_Ltda.">#REF!</definedName>
    <definedName name="ACTARIS_METERFABRIEK_BV">#REF!</definedName>
    <definedName name="ACTARIS_SAS">#REF!</definedName>
    <definedName name="ACTARIS_SINGAPORE_PTE_LTD">#REF!</definedName>
    <definedName name="ActCheck_C">#REF!</definedName>
    <definedName name="ActCheck_M">#REF!</definedName>
    <definedName name="ActCheck_N">#REF!</definedName>
    <definedName name="ActCheck_SE">#REF!</definedName>
    <definedName name="ActCheck_SM">#REF!</definedName>
    <definedName name="Activity_C">#REF!</definedName>
    <definedName name="Activity_M">#REF!</definedName>
    <definedName name="Activity_N">#REF!</definedName>
    <definedName name="Activity_SE">#REF!</definedName>
    <definedName name="Activity_SM">#REF!</definedName>
    <definedName name="Actual_Period">#REF!</definedName>
    <definedName name="ActualStock">#REF!</definedName>
    <definedName name="ad">#REF!</definedName>
    <definedName name="ADADA">#REF!</definedName>
    <definedName name="adadad" hidden="1">{#N/A,#N/A,FALSE,"Aging Summary";#N/A,#N/A,FALSE,"Ratio Analysis";#N/A,#N/A,FALSE,"Test 120 Day Accts";#N/A,#N/A,FALSE,"Tickmarks"}</definedName>
    <definedName name="adaddadad">#N/A</definedName>
    <definedName name="ADADS">#REF!</definedName>
    <definedName name="ADAXADAD">#REF!</definedName>
    <definedName name="adda" hidden="1">{#N/A,#N/A,FALSE,"Aging Summary";#N/A,#N/A,FALSE,"Ratio Analysis";#N/A,#N/A,FALSE,"Test 120 Day Accts";#N/A,#N/A,FALSE,"Tickmarks"}</definedName>
    <definedName name="adddd">#REF!</definedName>
    <definedName name="ADDGSDGSG" localSheetId="2">Srv</definedName>
    <definedName name="ADDGSDGSG">Srv</definedName>
    <definedName name="address01">#REF!</definedName>
    <definedName name="address02">#REF!</definedName>
    <definedName name="address03">#REF!</definedName>
    <definedName name="ADDRESS1">#REF!</definedName>
    <definedName name="ADDRESS1_4">#REF!</definedName>
    <definedName name="address2">#REF!</definedName>
    <definedName name="ADDRESS2_4">#REF!</definedName>
    <definedName name="ADDRESS3">#REF!</definedName>
    <definedName name="ADDRESS3_4">#REF!</definedName>
    <definedName name="adf">#REF!</definedName>
    <definedName name="adm">#REF!</definedName>
    <definedName name="Advancepayment">#REF!</definedName>
    <definedName name="AES_TELASI">#REF!</definedName>
    <definedName name="ag">#REF!</definedName>
    <definedName name="age">#REF!</definedName>
    <definedName name="Aging_dollars">#REF!</definedName>
    <definedName name="Aging_percent">#REF!,#REF!</definedName>
    <definedName name="Agst">#REF!</definedName>
    <definedName name="AGT">#REF!</definedName>
    <definedName name="Agt_02">#REF!</definedName>
    <definedName name="AGUS">#REF!</definedName>
    <definedName name="AGUS99">#REF!</definedName>
    <definedName name="ahahkfa">#REF!</definedName>
    <definedName name="ahdgartsgt">#REF!</definedName>
    <definedName name="AHMED_NASSER_ASSOC._PARTNER">#REF!</definedName>
    <definedName name="AIR">#REF!</definedName>
    <definedName name="ajerjeTTH">#REF!</definedName>
    <definedName name="AKHIR">#REF!</definedName>
    <definedName name="AKT">#REF!</definedName>
    <definedName name="aktiva">#REF!</definedName>
    <definedName name="aktiva_lain_lain">#REF!</definedName>
    <definedName name="aku">#REF!</definedName>
    <definedName name="Akun">#REF!</definedName>
    <definedName name="Akun_1">#REF!</definedName>
    <definedName name="AL_QAISI_FOR_ELECTROMECHANI">#REF!</definedName>
    <definedName name="Alamat">#REF!</definedName>
    <definedName name="alamat1">#REF!</definedName>
    <definedName name="alamat2">#REF!</definedName>
    <definedName name="alc">#REF!</definedName>
    <definedName name="ALDI">#REF!</definedName>
    <definedName name="ALEXANDER">#REF!</definedName>
    <definedName name="alket">#REF!</definedName>
    <definedName name="ALLALLA">#REF!</definedName>
    <definedName name="ALLDIVISION" hidden="1">#REF!</definedName>
    <definedName name="Allocation">IF(ISERROR(HLOOKUP(#REF!,#REF!,9)),"Acc Error",(#REF!/HLOOKUP(#REF!,#REF!,9))*HLOOKUP(#REF!,#REF!,10))</definedName>
    <definedName name="Allowance_to_Receivables">#REF!,#REF!</definedName>
    <definedName name="Allowance_to_Sales">#REF!,#REF!</definedName>
    <definedName name="American_Express_Bank">#REF!</definedName>
    <definedName name="Amort_insurance">#REF!</definedName>
    <definedName name="Amort_insurance_1">#REF!</definedName>
    <definedName name="Amortisasi_Pra_Operasi">#REF!</definedName>
    <definedName name="amortization">#REF!</definedName>
    <definedName name="amortization_1">#REF!</definedName>
    <definedName name="AN">#REF!</definedName>
    <definedName name="AN_1">#REF!</definedName>
    <definedName name="anak">#REF!</definedName>
    <definedName name="analysisInvMark">#REF!</definedName>
    <definedName name="analysisInvTurnMark">#REF!</definedName>
    <definedName name="analysisQuickMfg">#REF!</definedName>
    <definedName name="ANDI">#REF!</definedName>
    <definedName name="anggota1">#N/A</definedName>
    <definedName name="anggota2">#N/A</definedName>
    <definedName name="ANNUALLL">#REF!</definedName>
    <definedName name="ANNUALLY">#REF!</definedName>
    <definedName name="ans">#REF!</definedName>
    <definedName name="anscount" hidden="1">4</definedName>
    <definedName name="Anton" hidden="1">#REF!</definedName>
    <definedName name="Anton1" hidden="1">#REF!</definedName>
    <definedName name="Anton2" hidden="1">#REF!</definedName>
    <definedName name="Anton3" hidden="1">#REF!</definedName>
    <definedName name="apa">#REF!</definedName>
    <definedName name="apasih">#REF!</definedName>
    <definedName name="APP">#REF!</definedName>
    <definedName name="APR">#REF!</definedName>
    <definedName name="Apr_02">#REF!</definedName>
    <definedName name="APR00">#REF!</definedName>
    <definedName name="AprAv00">#REF!</definedName>
    <definedName name="april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SUMMARY">#REF!</definedName>
    <definedName name="aq">#REF!</definedName>
    <definedName name="AQUA_GAS_VALVES_FITTING_COR">#REF!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A_Threshold___0">#REF!</definedName>
    <definedName name="ARA_Threshold___2">#REF!</definedName>
    <definedName name="AREA">#REF!</definedName>
    <definedName name="aregw">#REF!</definedName>
    <definedName name="ARIDR">#REF!</definedName>
    <definedName name="ARIDR_1">#REF!</definedName>
    <definedName name="ARP_Threshold">#REF!</definedName>
    <definedName name="ARP_Threshold___0">#REF!</definedName>
    <definedName name="ARP_Threshold___2">#REF!</definedName>
    <definedName name="ARUSD">#REF!</definedName>
    <definedName name="ARUSD_1">#REF!</definedName>
    <definedName name="as" hidden="1">{#N/A,#N/A,FALSE,"94-95";"SAMANDR",#N/A,FALSE,"94-95"}</definedName>
    <definedName name="AS2DocOpenMode" hidden="1">"AS2DocumentEdit"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L">#REF!</definedName>
    <definedName name="asan">#REF!</definedName>
    <definedName name="asasa" hidden="1">{#N/A,#N/A,FALSE,"DATA"}</definedName>
    <definedName name="asd">#REF!</definedName>
    <definedName name="asdad">#REF!</definedName>
    <definedName name="ASDASDASD">#REF!</definedName>
    <definedName name="asdasdasdad" hidden="1">{#N/A,#N/A,FALSE,"DATA"}</definedName>
    <definedName name="ASDASDSAD">#REF!</definedName>
    <definedName name="ASDD">#REF!</definedName>
    <definedName name="asdf">#REF!</definedName>
    <definedName name="asdfg">#REF!</definedName>
    <definedName name="asfd">#N/A</definedName>
    <definedName name="asgeartt">#REF!</definedName>
    <definedName name="ASPAC">#REF!</definedName>
    <definedName name="asr" hidden="1">{#N/A,#N/A,FALSE,"Aging Summary";#N/A,#N/A,FALSE,"Ratio Analysis";#N/A,#N/A,FALSE,"Test 120 Day Accts";#N/A,#N/A,FALSE,"Tickmarks"}</definedName>
    <definedName name="ass" hidden="1">{#N/A,#N/A,FALSE,"Cost Report";#N/A,#N/A,FALSE,"Table 2.1";#N/A,#N/A,FALSE,"Plant Statistics";"Plant Costs",#N/A,FALSE,"Cost Summary"}</definedName>
    <definedName name="Asset_Optional_Fields">#REF!</definedName>
    <definedName name="assetnop">#REF!</definedName>
    <definedName name="assetRatios">#REF!</definedName>
    <definedName name="Assets_accum">#REF!</definedName>
    <definedName name="asskend">#REF!</definedName>
    <definedName name="Assr">#REF!</definedName>
    <definedName name="asss">#REF!</definedName>
    <definedName name="ath" hidden="1">{#N/A,#N/A,FALSE,"94-95";"SAMANDR",#N/A,FALSE,"94-95"}</definedName>
    <definedName name="atk">#REF!</definedName>
    <definedName name="atmr2">#REF!</definedName>
    <definedName name="attachVI">#REF!</definedName>
    <definedName name="AttVI">#REF!</definedName>
    <definedName name="AUD">#REF!</definedName>
    <definedName name="AUG00">#REF!</definedName>
    <definedName name="AugAv00">#REF!</definedName>
    <definedName name="avagt">#REF!</definedName>
    <definedName name="avagt01">#REF!</definedName>
    <definedName name="avapr">#REF!</definedName>
    <definedName name="avapr00">#REF!</definedName>
    <definedName name="avapr01">#REF!</definedName>
    <definedName name="avaug00">#REF!</definedName>
    <definedName name="avdes">#REF!</definedName>
    <definedName name="avdes01">#REF!</definedName>
    <definedName name="aveage">#REF!</definedName>
    <definedName name="avefyos">#REF!</definedName>
    <definedName name="avejan01">#REF!</definedName>
    <definedName name="avepyos">#REF!</definedName>
    <definedName name="average">#REF!</definedName>
    <definedName name="avfeb">#REF!</definedName>
    <definedName name="avfeb00">#REF!</definedName>
    <definedName name="avfeb01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ul">#REF!</definedName>
    <definedName name="avjul00">#REF!</definedName>
    <definedName name="avjul01">#REF!</definedName>
    <definedName name="avjun">#REF!</definedName>
    <definedName name="avjun00">#REF!</definedName>
    <definedName name="avjun01">#REF!</definedName>
    <definedName name="avmar">#REF!</definedName>
    <definedName name="avmar00">#REF!</definedName>
    <definedName name="avmar01">#REF!</definedName>
    <definedName name="avmay">#REF!</definedName>
    <definedName name="avmay00">#REF!</definedName>
    <definedName name="avmei01">#REF!</definedName>
    <definedName name="avnov">#REF!</definedName>
    <definedName name="avnov01">#REF!</definedName>
    <definedName name="avoct00">#REF!</definedName>
    <definedName name="avokt">#REF!</definedName>
    <definedName name="avokt01">#REF!</definedName>
    <definedName name="avsep">#REF!</definedName>
    <definedName name="avsep01">#REF!</definedName>
    <definedName name="aw">#REF!</definedName>
    <definedName name="AWAL">#REF!</definedName>
    <definedName name="AWAL_JUNI">#REF!</definedName>
    <definedName name="AWAL_OPEN">#REF!</definedName>
    <definedName name="AWAL_TGR_OPEN">#REF!</definedName>
    <definedName name="AWI">#REF!</definedName>
    <definedName name="Aws">#REF!</definedName>
    <definedName name="B">#REF!</definedName>
    <definedName name="b._Penjualan_yang_tidak_dilaporkan">#REF!</definedName>
    <definedName name="B.N_BHARADWAJ">#REF!</definedName>
    <definedName name="b_1_fis">#N/A</definedName>
    <definedName name="b_1_kor">#N/A</definedName>
    <definedName name="b_1_wp">#N/A</definedName>
    <definedName name="b_2_fis">#N/A</definedName>
    <definedName name="b_2_kor">#N/A</definedName>
    <definedName name="b_2_wp">#N/A</definedName>
    <definedName name="b_3_fis">#N/A</definedName>
    <definedName name="b_3_kor">#N/A</definedName>
    <definedName name="b_3_wp">#N/A</definedName>
    <definedName name="b_4_fis">#N/A</definedName>
    <definedName name="b_4_kor">#N/A</definedName>
    <definedName name="b_4_wp">#N/A</definedName>
    <definedName name="B_D">#N/A</definedName>
    <definedName name="B1_perf">#REF!</definedName>
    <definedName name="B1_Role">#REF!</definedName>
    <definedName name="B2_perf">#REF!</definedName>
    <definedName name="B2_Role">#REF!</definedName>
    <definedName name="BAD_STK">#REF!</definedName>
    <definedName name="Badan">#REF!</definedName>
    <definedName name="BADDEBT">#REF!</definedName>
    <definedName name="BADDEBT_4">#REF!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LANCE01">#REF!</definedName>
    <definedName name="BALANCE02">#REF!</definedName>
    <definedName name="BALANCE03">#REF!</definedName>
    <definedName name="BALANCE04">#REF!</definedName>
    <definedName name="BALANCE05">#REF!</definedName>
    <definedName name="BALANCE06">#REF!</definedName>
    <definedName name="BALANCE07">#REF!</definedName>
    <definedName name="BALANCE08">#REF!</definedName>
    <definedName name="BALANCE09">#REF!</definedName>
    <definedName name="BALANCE10">#REF!</definedName>
    <definedName name="BALANCE11">#REF!</definedName>
    <definedName name="BALANCE12">#REF!</definedName>
    <definedName name="BALANCES">#REF!</definedName>
    <definedName name="balancesheet">#REF!</definedName>
    <definedName name="balancesheet_4">#REF!</definedName>
    <definedName name="balancesheets">#REF!</definedName>
    <definedName name="BANDUNG">#REF!</definedName>
    <definedName name="BANG">#N/A</definedName>
    <definedName name="bank">#REF!</definedName>
    <definedName name="Bank_ASPAC">#REF!</definedName>
    <definedName name="BANK_LOAN">#REF!</definedName>
    <definedName name="BANKCHARGES">#REF!</definedName>
    <definedName name="BankIDRsby">#REF!</definedName>
    <definedName name="BankUSDjkt">#REF!</definedName>
    <definedName name="Bar">#REF!</definedName>
    <definedName name="BARRY">#REF!</definedName>
    <definedName name="Basic">#REF!</definedName>
    <definedName name="basis">#REF!</definedName>
    <definedName name="BB_DataAcctCode">#REF!</definedName>
    <definedName name="BB_DataBalance">#REF!</definedName>
    <definedName name="bbb" hidden="1">{#N/A,#N/A,FALSE,"Aging Summary";#N/A,#N/A,FALSE,"Ratio Analysis";#N/A,#N/A,FALSE,"Test 120 Day Accts";#N/A,#N/A,FALSE,"Tickmarks"}</definedName>
    <definedName name="BBBB" hidden="1">{#N/A,#N/A,FALSE,"Aging Summary";#N/A,#N/A,FALSE,"Ratio Analysis";#N/A,#N/A,FALSE,"Test 120 Day Accts";#N/A,#N/A,FALSE,"Tickmarks"}</definedName>
    <definedName name="BCAT">#REF!</definedName>
    <definedName name="BCAT1">#REF!</definedName>
    <definedName name="bcat2">#REF!</definedName>
    <definedName name="BCATN">#REF!</definedName>
    <definedName name="bCompanyDisplay">#REF!</definedName>
    <definedName name="bCurrencyDisplay">#REF!</definedName>
    <definedName name="bDivisionCode">#REF!</definedName>
    <definedName name="BDN">#REF!</definedName>
    <definedName name="BDPLN8">#N/A</definedName>
    <definedName name="bEAmASUK">#REF!</definedName>
    <definedName name="beda">#REF!</definedName>
    <definedName name="Before_Turnaround">#REF!</definedName>
    <definedName name="Beg_Bal">#REF!</definedName>
    <definedName name="begining">#REF!</definedName>
    <definedName name="BELI">#REF!</definedName>
    <definedName name="BELI_BKS">#REF!</definedName>
    <definedName name="BELI_CPN">#REF!</definedName>
    <definedName name="BELI_CPN_05">#REF!</definedName>
    <definedName name="BELI_JUNI">#REF!</definedName>
    <definedName name="BELI_NON">#REF!</definedName>
    <definedName name="beli05">#REF!</definedName>
    <definedName name="beli06">#REF!</definedName>
    <definedName name="beli10">#REF!</definedName>
    <definedName name="BELI11">#REF!</definedName>
    <definedName name="BELIBKS">#REF!</definedName>
    <definedName name="BELICPN">#REF!</definedName>
    <definedName name="BELINON">#REF!</definedName>
    <definedName name="BELIPKL10">#REF!</definedName>
    <definedName name="belipkl11">#REF!</definedName>
    <definedName name="belismg10">#REF!</definedName>
    <definedName name="BELISMG1003">#REF!</definedName>
    <definedName name="belismg11">#REF!</definedName>
    <definedName name="BELISOLO11">#REF!</definedName>
    <definedName name="BELISRG">#REF!</definedName>
    <definedName name="BELITGR">#REF!</definedName>
    <definedName name="BELL">#REF!</definedName>
    <definedName name="ben_tab_names">#REF!</definedName>
    <definedName name="ben_tbl_mo">#REF!</definedName>
    <definedName name="ben_tbl_mo2">#REF!</definedName>
    <definedName name="ben_tbl_yr">#REF!</definedName>
    <definedName name="ben_tbl_yr2">#REF!</definedName>
    <definedName name="BeritaAcara">#REF!</definedName>
    <definedName name="BESO1">#REF!</definedName>
    <definedName name="BESO2">#REF!</definedName>
    <definedName name="BESO3">#REF!</definedName>
    <definedName name="BG_Del" hidden="1">15</definedName>
    <definedName name="BG_Ins" hidden="1">4</definedName>
    <definedName name="BG_Mod" hidden="1">6</definedName>
    <definedName name="bgt04_cc">#REF!</definedName>
    <definedName name="bgt04_coa">#REF!</definedName>
    <definedName name="bgt04_div">#REF!</definedName>
    <definedName name="bgt04_ttl">#REF!</definedName>
    <definedName name="BI_s_closing_rate">#REF!</definedName>
    <definedName name="BIAYA">#REF!</definedName>
    <definedName name="Biaya_ATK___IT_Dept.">#REF!</definedName>
    <definedName name="Biaya_Maintenance_Perangkat_IT">#REF!</definedName>
    <definedName name="BIK">#N/A</definedName>
    <definedName name="BIK_4">#REF!</definedName>
    <definedName name="bikexpenses">#REF!</definedName>
    <definedName name="BILA">#REF!</definedName>
    <definedName name="billllll">#REF!</definedName>
    <definedName name="BIMMMMM">#REF!</definedName>
    <definedName name="Birotika">#REF!</definedName>
    <definedName name="BITUNG">#REF!</definedName>
    <definedName name="BITUNG1">#REF!</definedName>
    <definedName name="BJTdata">#REF!</definedName>
    <definedName name="BL.">#REF!</definedName>
    <definedName name="BL..">#REF!</definedName>
    <definedName name="BLAB">#REF!</definedName>
    <definedName name="BLALAA">#REF!</definedName>
    <definedName name="BLCPN">#REF!</definedName>
    <definedName name="bldg_insurance">#REF!</definedName>
    <definedName name="bldg_insurance_1">#REF!</definedName>
    <definedName name="blk">#REF!</definedName>
    <definedName name="Bln">#REF!</definedName>
    <definedName name="BLNON">#REF!</definedName>
    <definedName name="BLSRG">#REF!</definedName>
    <definedName name="BLTGR">#REF!</definedName>
    <definedName name="blue">#REF!</definedName>
    <definedName name="BM">#REF!</definedName>
    <definedName name="BMCFADJ">#REF!</definedName>
    <definedName name="BMCFCIG">#REF!</definedName>
    <definedName name="BMCFCON">#REF!</definedName>
    <definedName name="BMCFKAR">#REF!</definedName>
    <definedName name="BMSUMCF">#REF!</definedName>
    <definedName name="BMWC">#REF!</definedName>
    <definedName name="BN">#REF!</definedName>
    <definedName name="BNE" hidden="1">#REF!</definedName>
    <definedName name="Bnf_dibayar">#REF!</definedName>
    <definedName name="BNHC">#N/A</definedName>
    <definedName name="bnsf">#REF!</definedName>
    <definedName name="bo">MCOST2</definedName>
    <definedName name="bobot">#REF!</definedName>
    <definedName name="bobot2">#REF!</definedName>
    <definedName name="bondan">#REF!</definedName>
    <definedName name="bone">#REF!</definedName>
    <definedName name="BONUSAPR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year">#REF!</definedName>
    <definedName name="BOOO">#REF!</definedName>
    <definedName name="BP_23">#REF!</definedName>
    <definedName name="bpll02tm">#N/A</definedName>
    <definedName name="bpll03tm">#N/A</definedName>
    <definedName name="BPTL">#REF!</definedName>
    <definedName name="Brand_Code">#REF!</definedName>
    <definedName name="BRASS_FORGING___MACHINING">#REF!</definedName>
    <definedName name="brg">#REF!</definedName>
    <definedName name="BRメンテ">#REF!</definedName>
    <definedName name="BR治工">#REF!</definedName>
    <definedName name="BS">#REF!</definedName>
    <definedName name="BS_2">#N/A</definedName>
    <definedName name="BS_REP">#N/A</definedName>
    <definedName name="BS_REPO">#N/A</definedName>
    <definedName name="BS1_">#N/A</definedName>
    <definedName name="BS2_">#N/A</definedName>
    <definedName name="BS2LWP">#N/A</definedName>
    <definedName name="BSCON">#REF!</definedName>
    <definedName name="BSMADJ">#REF!</definedName>
    <definedName name="BSMCIG">#REF!</definedName>
    <definedName name="BSMCON">#REF!</definedName>
    <definedName name="BSMKAR">#REF!</definedName>
    <definedName name="bStatus">#REF!</definedName>
    <definedName name="bswip">#REF!</definedName>
    <definedName name="bTitle">#REF!</definedName>
    <definedName name="BUA">#REF!</definedName>
    <definedName name="building">#REF!</definedName>
    <definedName name="building_1">#REF!</definedName>
    <definedName name="BuiltIn_Print_Area___0">#REF!</definedName>
    <definedName name="BuiltIn_Print_Area___1">#REF!</definedName>
    <definedName name="BuiltIn_Print_Area___5">"$pph_22.$#ref!$#ref!:$#ref!$#ref!"</definedName>
    <definedName name="BuiltIn_Print_Titles___0">#REF!</definedName>
    <definedName name="BuiltIn_Print_Titles___5">"$pph_22.$#ref!$#ref!:$#ref!$#ref!"</definedName>
    <definedName name="BULAN">#REF!</definedName>
    <definedName name="Bunga">#REF!</definedName>
    <definedName name="business">#REF!</definedName>
    <definedName name="BusinessIncome">#REF!</definedName>
    <definedName name="businesstype">#REF!</definedName>
    <definedName name="BUT_ONE">#REF!</definedName>
    <definedName name="Buy">#REF!</definedName>
    <definedName name="BV_2000">#REF!</definedName>
    <definedName name="BV_2000WP">#REF!</definedName>
    <definedName name="by">#REF!</definedName>
    <definedName name="by01tm">#N/A</definedName>
    <definedName name="by02tm">#N/A</definedName>
    <definedName name="by03tm">#N/A</definedName>
    <definedName name="by04tm">#N/A</definedName>
    <definedName name="by05tm">#N/A</definedName>
    <definedName name="by06tm">#N/A</definedName>
    <definedName name="by07tm">#N/A</definedName>
    <definedName name="by08tm">#N/A</definedName>
    <definedName name="by09tm">#N/A</definedName>
    <definedName name="bydtltm">#N/A</definedName>
    <definedName name="bydtlytd">#N/A</definedName>
    <definedName name="bYearActual">#REF!</definedName>
    <definedName name="bYearBudget">#REF!</definedName>
    <definedName name="bYearPlan1">#REF!</definedName>
    <definedName name="bYearPlan2">#REF!</definedName>
    <definedName name="bYearPrev1">#REF!</definedName>
    <definedName name="bYearPrev2">#REF!</definedName>
    <definedName name="C.E.A.C">#REF!</definedName>
    <definedName name="C_">#N/A</definedName>
    <definedName name="C_\PPH21\GAJI">#REF!</definedName>
    <definedName name="C_perf">#REF!</definedName>
    <definedName name="cad">#REF!</definedName>
    <definedName name="CADJ">#REF!</definedName>
    <definedName name="caforward">#REF!</definedName>
    <definedName name="calendar">#REF!</definedName>
    <definedName name="calib_fact">#REF!</definedName>
    <definedName name="cancel">#REF!</definedName>
    <definedName name="cancel2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>#REF!</definedName>
    <definedName name="CAPGAINS_4">#REF!</definedName>
    <definedName name="Capitalstock">#REF!</definedName>
    <definedName name="CAPLOSS">#REF!</definedName>
    <definedName name="CAPLOSS_4">#REF!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AND_CASH_EQUIVALENT">#REF!</definedName>
    <definedName name="Cashadvance">#REF!</definedName>
    <definedName name="CASMUR_S.A.">#REF!</definedName>
    <definedName name="CAT">#REF!</definedName>
    <definedName name="CATDET2">#REF!</definedName>
    <definedName name="Cathay_Pacific">#REF!</definedName>
    <definedName name="CATN">#REF!</definedName>
    <definedName name="CAVE">#REF!</definedName>
    <definedName name="CC">#REF!</definedName>
    <definedName name="ccc" hidden="1">{#N/A,#N/A,FALSE,"Aging Summary";#N/A,#N/A,FALSE,"Ratio Analysis";#N/A,#N/A,FALSE,"Test 120 Day Accts";#N/A,#N/A,FALSE,"Tickmarks"}</definedName>
    <definedName name="CCK">#REF!</definedName>
    <definedName name="CD">#REF!</definedName>
    <definedName name="cdaudit">#REF!</definedName>
    <definedName name="cdbook">#REF!</definedName>
    <definedName name="CE">#REF!</definedName>
    <definedName name="CEK">#REF!</definedName>
    <definedName name="cek_GL">#REF!</definedName>
    <definedName name="CETAK">#REF!</definedName>
    <definedName name="CETAK_SUMMARY">#REF!</definedName>
    <definedName name="CETAK4">#REF!</definedName>
    <definedName name="cetakan">#REF!</definedName>
    <definedName name="CEYLON_ELECTRICITY_BOARD">#REF!</definedName>
    <definedName name="CF">#REF!</definedName>
    <definedName name="Cfm._WP_SPT">#REF!</definedName>
    <definedName name="CG_Schlumberger_Elect.Man.L">#REF!</definedName>
    <definedName name="CG_SCHLUMBERGER_ELEECTRICIT">#REF!</definedName>
    <definedName name="CGM">#N/A</definedName>
    <definedName name="CGS_SARD">#REF!</definedName>
    <definedName name="CH">#REF!</definedName>
    <definedName name="CHANGE_1">#N/A</definedName>
    <definedName name="CHANGE_CF">#REF!</definedName>
    <definedName name="CHANGE_TP">#REF!</definedName>
    <definedName name="CHART">#REF!</definedName>
    <definedName name="CHARTACCOUNT">#REF!</definedName>
    <definedName name="CHATSWOOD_TRADING">#REF!</definedName>
    <definedName name="Chem_PerPond">#REF!</definedName>
    <definedName name="Chemic_Price">#REF!</definedName>
    <definedName name="Chonglee_Leong_Seng_Co._LTD">#REF!</definedName>
    <definedName name="CHONGQING_SCHLUMBERGER">#REF!</definedName>
    <definedName name="cictrisa">#REF!</definedName>
    <definedName name="CIPHSJ" hidden="1">#REF!</definedName>
    <definedName name="CIRI">#REF!</definedName>
    <definedName name="CIRI1">#REF!</definedName>
    <definedName name="CIRI2">#REF!</definedName>
    <definedName name="Citizenship">#REF!</definedName>
    <definedName name="CITUNG">#REF!</definedName>
    <definedName name="CITUNG1">#REF!</definedName>
    <definedName name="CL">#REF!</definedName>
    <definedName name="Classification">#REF!</definedName>
    <definedName name="ClientGroup">#REF!,#REF!,#REF!,#REF!,#REF!,#REF!,#REF!</definedName>
    <definedName name="CNY">#REF!</definedName>
    <definedName name="Co">"Co: Croatia Sales"</definedName>
    <definedName name="co_data">#REF!</definedName>
    <definedName name="Co_name">#REF!</definedName>
    <definedName name="coa">#REF!</definedName>
    <definedName name="COA_AcctCode">#REF!</definedName>
    <definedName name="COA_AcctTitle">#REF!</definedName>
    <definedName name="COA_Company">#REF!</definedName>
    <definedName name="COA_DataAll">#REF!</definedName>
    <definedName name="COB">#REF!</definedName>
    <definedName name="COBA">#REF!</definedName>
    <definedName name="code">#REF!</definedName>
    <definedName name="Codestable_cutofflist">#REF!</definedName>
    <definedName name="Coefficients">#REF!</definedName>
    <definedName name="COGS">#REF!</definedName>
    <definedName name="COGS_4">#REF!</definedName>
    <definedName name="cogs_TMDLK">#REF!</definedName>
    <definedName name="cogs_tmnsr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>#REF!</definedName>
    <definedName name="Col_InputValue">#REF!</definedName>
    <definedName name="Col_JnlNo">#REF!</definedName>
    <definedName name="Col_MntValue">#REF!</definedName>
    <definedName name="Col_OCo">#REF!</definedName>
    <definedName name="Col_OLoc">#REF!</definedName>
    <definedName name="Col_Ref1">#REF!</definedName>
    <definedName name="Col_Ref2">#REF!</definedName>
    <definedName name="Col_TrnNo">#REF!</definedName>
    <definedName name="Col_User">#REF!</definedName>
    <definedName name="Col_VouNo">#REF!</definedName>
    <definedName name="Col_YTDValue">#REF!</definedName>
    <definedName name="ColorArea">#REF!</definedName>
    <definedName name="COMBINE">#N/A</definedName>
    <definedName name="Comin_Asia">#REF!</definedName>
    <definedName name="COMIN_KHMERE">#REF!</definedName>
    <definedName name="COMM">#REF!</definedName>
    <definedName name="COMPANIA_CHILENA_DE_MEDIDOR">#REF!</definedName>
    <definedName name="COMPANIA_CHILENA_DEMEDIDORE">#REF!</definedName>
    <definedName name="companyofficer">#REF!</definedName>
    <definedName name="COMPTOIR_SUD">#REF!</definedName>
    <definedName name="computer">#REF!</definedName>
    <definedName name="Comunicatonexp">#REF!</definedName>
    <definedName name="Conferenceexp">#REF!</definedName>
    <definedName name="CONS">#N/A</definedName>
    <definedName name="CONSDIFF">#REF!</definedName>
    <definedName name="CONSL">#REF!</definedName>
    <definedName name="CONTENTS">#REF!</definedName>
    <definedName name="ContractType">#REF!</definedName>
    <definedName name="cooperation">#REF!</definedName>
    <definedName name="COP">#REF!</definedName>
    <definedName name="COPY">#REF!</definedName>
    <definedName name="Coridor">#REF!</definedName>
    <definedName name="CORP">#REF!</definedName>
    <definedName name="CORP_PERF">#REF!</definedName>
    <definedName name="Corporate">#REF!</definedName>
    <definedName name="CORPSUMM">#REF!</definedName>
    <definedName name="COST">#REF!</definedName>
    <definedName name="coType" localSheetId="2">Srv</definedName>
    <definedName name="coType">Srv</definedName>
    <definedName name="COUNT">#REF!</definedName>
    <definedName name="counter">#REF!</definedName>
    <definedName name="COUNTRY">#REF!</definedName>
    <definedName name="Country_Electric_System_Ltd">#REF!</definedName>
    <definedName name="Country_Electric_Systems_Lt">#REF!</definedName>
    <definedName name="cours">#REF!</definedName>
    <definedName name="cover2">#REF!</definedName>
    <definedName name="cover3">#REF!</definedName>
    <definedName name="CP_IDR_Rate">#REF!</definedName>
    <definedName name="CPN">#REF!</definedName>
    <definedName name="CPNNI">#REF!</definedName>
    <definedName name="CREDIT">#REF!</definedName>
    <definedName name="_xlnm.Criteria">#REF!</definedName>
    <definedName name="Criteria_MI">#REF!</definedName>
    <definedName name="CS">#REF!</definedName>
    <definedName name="CSALES06">#REF!</definedName>
    <definedName name="CSALES08">#REF!</definedName>
    <definedName name="CSALES09">#REF!</definedName>
    <definedName name="CSALES10">#REF!</definedName>
    <definedName name="CSALES11">#REF!</definedName>
    <definedName name="CSALES12">#REF!</definedName>
    <definedName name="CSC">#REF!</definedName>
    <definedName name="csDesignMode">1</definedName>
    <definedName name="CTR">#REF!</definedName>
    <definedName name="CUB42T">#REF!</definedName>
    <definedName name="Cumulative_Difference">#REF!</definedName>
    <definedName name="CUR">#REF!</definedName>
    <definedName name="Curr">#REF!</definedName>
    <definedName name="currencyFormat">#REF!</definedName>
    <definedName name="current">#REF!</definedName>
    <definedName name="Current_Period">#REF!</definedName>
    <definedName name="CUSTOM">#REF!</definedName>
    <definedName name="cv">#REF!</definedName>
    <definedName name="cwsfvw">#REF!</definedName>
    <definedName name="D">#REF!</definedName>
    <definedName name="DAD">#REF!</definedName>
    <definedName name="dada">#REF!</definedName>
    <definedName name="DADAADAD">#REF!</definedName>
    <definedName name="DADDAD">#REF!</definedName>
    <definedName name="DADSDSSD">#REF!</definedName>
    <definedName name="daerah">#REF!</definedName>
    <definedName name="daftar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LL">#REF!</definedName>
    <definedName name="DALLA">#N/A</definedName>
    <definedName name="DALLN">#N/A</definedName>
    <definedName name="DANA">#REF!</definedName>
    <definedName name="DANAMON">#REF!</definedName>
    <definedName name="DANAMON_LK">#REF!</definedName>
    <definedName name="DASADD">#REF!</definedName>
    <definedName name="dat_gl0035">#REF!</definedName>
    <definedName name="dat_gl0730eom">#REF!</definedName>
    <definedName name="dat_lbbuII">#REF!</definedName>
    <definedName name="dat_roe">#REF!</definedName>
    <definedName name="dat_roe1205">#REF!</definedName>
    <definedName name="data">#REF!</definedName>
    <definedName name="DATA.BudgetTable">#REF!</definedName>
    <definedName name="DATA.ClientGroup">#REF!</definedName>
    <definedName name="DATA.ClientGroupColumn">#REF!</definedName>
    <definedName name="DATA.ClientGroupTempColumn">#REF!</definedName>
    <definedName name="DATA.CurrentFYLabel">#REF!</definedName>
    <definedName name="DATA.DIStartRow">#REF!</definedName>
    <definedName name="Data.ExemptionCodes">#REF!</definedName>
    <definedName name="DATA.FormulaRanges">#REF!</definedName>
    <definedName name="DATA.LORCodes">#REF!</definedName>
    <definedName name="DATA.Max.LOR">#REF!</definedName>
    <definedName name="DATA.Max.Rating">#REF!</definedName>
    <definedName name="DATA.Max.Units">#REF!</definedName>
    <definedName name="DATA.MeetingLOR">#REF!</definedName>
    <definedName name="DATA.MeetingRating">#REF!</definedName>
    <definedName name="DATA.MeetingTypes">#REF!</definedName>
    <definedName name="DATA.Min.LOR">#REF!</definedName>
    <definedName name="DATA.Min.Rating">#REF!</definedName>
    <definedName name="DATA.Min.Units">#REF!</definedName>
    <definedName name="DATA.NamedRanges">#REF!</definedName>
    <definedName name="DATA.PasteAsValue">#REF!</definedName>
    <definedName name="DATA.PerformanceCodes">#REF!</definedName>
    <definedName name="DATA.PerformanceRatings">#REF!</definedName>
    <definedName name="DATA.PLStartRow">#REF!</definedName>
    <definedName name="DATA.PreviousFY">#REF!</definedName>
    <definedName name="DATA.PreviousFY1">#REF!</definedName>
    <definedName name="DATA.PreviousFYLabel">#REF!</definedName>
    <definedName name="DATA.RatingsLevelAB">#REF!</definedName>
    <definedName name="DATA.RatingsLevelABC">#REF!</definedName>
    <definedName name="DATA.RatingTotals">#REF!</definedName>
    <definedName name="DATA.SummaryFormula">#REF!</definedName>
    <definedName name="DATA.SummaryRanges">#REF!</definedName>
    <definedName name="DATA.SummaryStartRow">#REF!</definedName>
    <definedName name="DATA.TransitionRanges">#REF!</definedName>
    <definedName name="DATA.UnitTable">#REF!</definedName>
    <definedName name="Data_21">#REF!</definedName>
    <definedName name="Data_23">#REF!</definedName>
    <definedName name="Data_FP">#REF!</definedName>
    <definedName name="Data_SSP">#REF!</definedName>
    <definedName name="DATA_WP">#REF!</definedName>
    <definedName name="DATA1">#REF!</definedName>
    <definedName name="DATA10">#REF!</definedName>
    <definedName name="DATA13">#REF!</definedName>
    <definedName name="DATA15">#REF!</definedName>
    <definedName name="data2">#REF!</definedName>
    <definedName name="Data23_2">#REF!</definedName>
    <definedName name="DATA3">#REF!</definedName>
    <definedName name="DATA4">#REF!</definedName>
    <definedName name="DATA5">#REF!</definedName>
    <definedName name="DATA6">#REF!</definedName>
    <definedName name="data65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1">#REF!</definedName>
    <definedName name="databes">#REF!</definedName>
    <definedName name="databes_5">#REF!</definedName>
    <definedName name="dataklu2">#REF!</definedName>
    <definedName name="DataNama">#REF!</definedName>
    <definedName name="DataUmum">#REF!</definedName>
    <definedName name="dated">#REF!</definedName>
    <definedName name="Days_in_Receivables">#REF!,#REF!</definedName>
    <definedName name="daysapr">#REF!</definedName>
    <definedName name="daysaug">#REF!</definedName>
    <definedName name="daysdec">#REF!</definedName>
    <definedName name="daysfeb">#REF!</definedName>
    <definedName name="daysjan">#REF!</definedName>
    <definedName name="daysjul">#REF!</definedName>
    <definedName name="daysjun">#REF!</definedName>
    <definedName name="daysmar">#REF!</definedName>
    <definedName name="daysmay">#REF!</definedName>
    <definedName name="daysnov">#REF!</definedName>
    <definedName name="daysoct">#REF!</definedName>
    <definedName name="DaysOfMonth">#REF!</definedName>
    <definedName name="dayssep">#REF!</definedName>
    <definedName name="daysyear">#REF!</definedName>
    <definedName name="DBASEPRO">#REF!</definedName>
    <definedName name="dbm">#REF!</definedName>
    <definedName name="DCA">#REF!</definedName>
    <definedName name="DCCADAD">#REF!</definedName>
    <definedName name="DCGメンテ">#REF!</definedName>
    <definedName name="DCG治工">#REF!</definedName>
    <definedName name="DCUNEARNED1">#REF!</definedName>
    <definedName name="dd">#REF!</definedName>
    <definedName name="DD.3">#N/A</definedName>
    <definedName name="DD_Curr">#REF!</definedName>
    <definedName name="ddaasd">#REF!</definedName>
    <definedName name="DDD">#REF!</definedName>
    <definedName name="DDFDF" hidden="1">{"'Key fig. Rpt'!$B$5:$K$94"}</definedName>
    <definedName name="DDFFFF">#REF!</definedName>
    <definedName name="ddiactcol">#REF!</definedName>
    <definedName name="ddiactcol_4">#REF!</definedName>
    <definedName name="ddiactytd">#REF!</definedName>
    <definedName name="ddibudcol">#REF!</definedName>
    <definedName name="ddibudcol_4">#REF!</definedName>
    <definedName name="ddibuddata">#REF!</definedName>
    <definedName name="ddibuddata_4">#REF!</definedName>
    <definedName name="ddiee">#REF!</definedName>
    <definedName name="de">#REF!</definedName>
    <definedName name="Debet">#REF!</definedName>
    <definedName name="DEBIT">#REF!</definedName>
    <definedName name="Debt_Exp_to_Sales">#REF!,#REF!</definedName>
    <definedName name="Decr_tab">#REF!</definedName>
    <definedName name="Deferred">#REF!</definedName>
    <definedName name="DEFFTAX">#REF!</definedName>
    <definedName name="DELAPAN">#N/A</definedName>
    <definedName name="DELAPANBELAS">#N/A</definedName>
    <definedName name="dem">#REF!</definedName>
    <definedName name="dep">#REF!</definedName>
    <definedName name="Dep_ESSD">#REF!</definedName>
    <definedName name="DEPARTEMENTAL_COSTING_ON_JAN._MAR.99">MCOST2</definedName>
    <definedName name="DEPARTEMENTAL_COSTING_ON_MARCH_99">"MCOST1"</definedName>
    <definedName name="depchedule">#REF!</definedName>
    <definedName name="Dependant">#REF!</definedName>
    <definedName name="Dependen">#REF!</definedName>
    <definedName name="Dependen_13">#REF!</definedName>
    <definedName name="Dependen_22">#REF!</definedName>
    <definedName name="depo1_1">#REF!</definedName>
    <definedName name="depo2_1">#REF!</definedName>
    <definedName name="Depositpaid">#REF!</definedName>
    <definedName name="DEPR00">#REF!</definedName>
    <definedName name="depreciation">#REF!</definedName>
    <definedName name="DEPRECIATION_4">#REF!</definedName>
    <definedName name="DEPRECIATION0">#REF!</definedName>
    <definedName name="DEPRECIATION0_4">#REF!</definedName>
    <definedName name="depreciationcalculation">#REF!</definedName>
    <definedName name="Depreop">#REF!</definedName>
    <definedName name="Deprepro">#REF!</definedName>
    <definedName name="DEPRN">#REF!</definedName>
    <definedName name="DEPT">#REF!</definedName>
    <definedName name="DEPT_HEAD">#REF!</definedName>
    <definedName name="DeptDName">#REF!</definedName>
    <definedName name="DES">#REF!</definedName>
    <definedName name="Detail">#REF!</definedName>
    <definedName name="DETAIL_PL_togo">#REF!</definedName>
    <definedName name="Detail_Training">#REF!</definedName>
    <definedName name="Details">#REF!</definedName>
    <definedName name="Dev_Fee">#REF!</definedName>
    <definedName name="dew">#REF!</definedName>
    <definedName name="DFDFDFDF" localSheetId="2">Srv</definedName>
    <definedName name="DFDFDFDF">Srv</definedName>
    <definedName name="DFDFFSDFSDFDF">#REF!</definedName>
    <definedName name="DFF">#REF!</definedName>
    <definedName name="dfgddfgdfdjsfj">#REF!</definedName>
    <definedName name="DFGDDGDG" localSheetId="2">InputModel</definedName>
    <definedName name="DFGDDGDG">InputModel</definedName>
    <definedName name="DFGDG">#REF!</definedName>
    <definedName name="dfgdggdf">#REF!</definedName>
    <definedName name="dfghdgfdsg">#REF!</definedName>
    <definedName name="DFGHDHDHDHDFH" hidden="1">{"'Key fig. Rpt'!$B$5:$K$94"}</definedName>
    <definedName name="DFGHDHHDFHDFH" localSheetId="2">Ongoing</definedName>
    <definedName name="DFGHDHHDFHDFH">Ongoing</definedName>
    <definedName name="DFGHGHHGGHD">#REF!</definedName>
    <definedName name="DFHDFGHDHDH" hidden="1">{"'Key fig. Rpt'!$B$5:$K$94"}</definedName>
    <definedName name="DFHDHHDH" hidden="1">{"'Key fig. Rpt'!$B$5:$K$94"}</definedName>
    <definedName name="DFHFDHDFH" localSheetId="2">Srv</definedName>
    <definedName name="DFHFDHDFH">Srv</definedName>
    <definedName name="DFHHDDHH" localSheetId="2">Srv</definedName>
    <definedName name="DFHHDDHH">Srv</definedName>
    <definedName name="DFL">#REF!</definedName>
    <definedName name="DGDFG">#REF!</definedName>
    <definedName name="DGDFGDG" hidden="1">{"'Key fig. Rpt'!$B$5:$K$94"}</definedName>
    <definedName name="DGDGDGDFGFGDF" hidden="1">{"'Key fig. Rpt'!$B$5:$K$94"}</definedName>
    <definedName name="DGFD" localSheetId="2">InputModel</definedName>
    <definedName name="DGFD">InputModel</definedName>
    <definedName name="dghgh" localSheetId="2">Ongoing</definedName>
    <definedName name="dghgh">Ongoing</definedName>
    <definedName name="dgmkdg">#REF!</definedName>
    <definedName name="DHDDHFGDGDGDG" hidden="1">{"'Key fig. Rpt'!$B$5:$K$94"}</definedName>
    <definedName name="DHDHDGH" hidden="1">{"'Key fig. Rpt'!$B$5:$K$94"}</definedName>
    <definedName name="DHDHFDFHFH" hidden="1">{"'Key fig. Rpt'!$B$5:$K$94"}</definedName>
    <definedName name="dhfgl">#REF!</definedName>
    <definedName name="DHFHFDHHDFHD" localSheetId="2">InputModel</definedName>
    <definedName name="DHFHFDHHDFHD">InputModel</definedName>
    <definedName name="DI.Transfer.1">#REF!</definedName>
    <definedName name="DI.Transfer.10">#REF!</definedName>
    <definedName name="DI.Transfer.11">#REF!</definedName>
    <definedName name="DI.Transfer.12">#REF!</definedName>
    <definedName name="DI.Transfer.13">#REF!</definedName>
    <definedName name="DI.Transfer.14">#REF!</definedName>
    <definedName name="DI.Transfer.15">#REF!</definedName>
    <definedName name="DI.Transfer.2">#REF!</definedName>
    <definedName name="DI.Transfer.3">#REF!</definedName>
    <definedName name="DI.Transfer.4">#REF!</definedName>
    <definedName name="DI.Transfer.5">#REF!</definedName>
    <definedName name="DI.Transfer.6">#REF!</definedName>
    <definedName name="DI.Transfer.7">#REF!</definedName>
    <definedName name="DI.Transfer.8">#REF!</definedName>
    <definedName name="DI.Transfer.9">#REF!</definedName>
    <definedName name="Difference">#REF!</definedName>
    <definedName name="dina" hidden="1">{#N/A,#N/A,FALSE,"Aging Summary";#N/A,#N/A,FALSE,"Ratio Analysis";#N/A,#N/A,FALSE,"Test 120 Day Accts";#N/A,#N/A,FALSE,"Tickmarks"}</definedName>
    <definedName name="DINO">#REF!</definedName>
    <definedName name="disc2_rat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>#REF!</definedName>
    <definedName name="Dislosure_FA_Movement">#N/A</definedName>
    <definedName name="DIST.ClientGroup">#REF!</definedName>
    <definedName name="DIST.Meeting">#REF!</definedName>
    <definedName name="DIST.RatingDistribution">#REF!</definedName>
    <definedName name="DistPL">#REF!</definedName>
    <definedName name="dividend">#REF!</definedName>
    <definedName name="DIVIDEND_4">#REF!</definedName>
    <definedName name="DKHSP">#REF!</definedName>
    <definedName name="dl0450_010905">#REF!</definedName>
    <definedName name="dl0450_1">#REF!</definedName>
    <definedName name="dl0450_10">#REF!</definedName>
    <definedName name="dl0450_11">#REF!</definedName>
    <definedName name="dl0450_12">#REF!</definedName>
    <definedName name="dl0450_13">#REF!</definedName>
    <definedName name="dl0450_2">#REF!</definedName>
    <definedName name="dl0450_27dec05">#REF!</definedName>
    <definedName name="dl0450_28">#REF!</definedName>
    <definedName name="dl0450_28dec05">#REF!</definedName>
    <definedName name="dl0450_3">#REF!</definedName>
    <definedName name="dl0450_31">#REF!</definedName>
    <definedName name="dl0450_4">#REF!</definedName>
    <definedName name="dl0450_5">#REF!</definedName>
    <definedName name="dl0450_6">#REF!</definedName>
    <definedName name="dl0450_7">#REF!</definedName>
    <definedName name="dl0450_8">#REF!</definedName>
    <definedName name="dl0450_9">#REF!</definedName>
    <definedName name="dl0450_eom">#REF!</definedName>
    <definedName name="dl0450_today">#REF!</definedName>
    <definedName name="DO">#REF!</definedName>
    <definedName name="DONATIONS">#REF!</definedName>
    <definedName name="DORRAAA">#REF!</definedName>
    <definedName name="doub">#REF!</definedName>
    <definedName name="dov">#REF!</definedName>
    <definedName name="DP">#REF!</definedName>
    <definedName name="dppppn_fis">#N/A</definedName>
    <definedName name="dppppn_wp">#N/A</definedName>
    <definedName name="DPR_JRNL">#REF!</definedName>
    <definedName name="DQSUM">#REF!</definedName>
    <definedName name="driver">#REF!</definedName>
    <definedName name="dsfsdfsdf">#N/A</definedName>
    <definedName name="DSP">#REF!</definedName>
    <definedName name="dt" hidden="1">#REF!</definedName>
    <definedName name="dtr" hidden="1">#REF!</definedName>
    <definedName name="DUA">#REF!</definedName>
    <definedName name="DUABELAS">#N/A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atiga">#REF!</definedName>
    <definedName name="Duta_Sarana_Perkasa">#REF!</definedName>
    <definedName name="dx">#REF!</definedName>
    <definedName name="E">#REF!</definedName>
    <definedName name="e.111" hidden="1">{#N/A,#N/A,FALSE,"Aging Summary";#N/A,#N/A,FALSE,"Ratio Analysis";#N/A,#N/A,FALSE,"Test 120 Day Accts";#N/A,#N/A,FALSE,"Tickmarks"}</definedName>
    <definedName name="e_1_1_fis">#N/A</definedName>
    <definedName name="e_1_1_wp">#N/A</definedName>
    <definedName name="e_1_2_fis">#N/A</definedName>
    <definedName name="e_1_2_wp">#N/A</definedName>
    <definedName name="E_T_D_E_Direction_Inter.">#REF!</definedName>
    <definedName name="E0">#REF!</definedName>
    <definedName name="earyyerryery">#REF!</definedName>
    <definedName name="ebittax">#REF!</definedName>
    <definedName name="EBS">#REF!</definedName>
    <definedName name="EBT">#REF!</definedName>
    <definedName name="EBT_4">#REF!</definedName>
    <definedName name="ed">#REF!</definedName>
    <definedName name="eda" hidden="1">{#N/A,#N/A,FALSE,"DATA"}</definedName>
    <definedName name="edwin">#REF!</definedName>
    <definedName name="Efficiency_L1">#REF!</definedName>
    <definedName name="Effort_Actual_LoadedCost">#REF!</definedName>
    <definedName name="Effort_Planned_TotalMandays">#REF!</definedName>
    <definedName name="EJAEJAQ5UYW">#N/A</definedName>
    <definedName name="Electricite_Du_Cambodge">#REF!</definedName>
    <definedName name="ELECTROBIT">#REF!</definedName>
    <definedName name="EMPAT">#N/A</definedName>
    <definedName name="EMPATBELAS">#N/A</definedName>
    <definedName name="EMPATBELASA">#N/A</definedName>
    <definedName name="EMPLOYEE">#N/A</definedName>
    <definedName name="EmploymentIncome">#REF!</definedName>
    <definedName name="ENAM">#N/A</definedName>
    <definedName name="ENAMBELAS">#N/A</definedName>
    <definedName name="ENAMBELASA">#N/A</definedName>
    <definedName name="end">#REF!</definedName>
    <definedName name="End_Bal">#REF!</definedName>
    <definedName name="End_Bal_39">#REF!</definedName>
    <definedName name="End_Bal_40">#REF!</definedName>
    <definedName name="End_Bal_48">#REF!</definedName>
    <definedName name="End_Bal_49">#REF!</definedName>
    <definedName name="End_Bal_50">#REF!</definedName>
    <definedName name="End_Bal_51">#REF!</definedName>
    <definedName name="End_Bal_7">#REF!</definedName>
    <definedName name="endingDOC">#REF!</definedName>
    <definedName name="endyear">#REF!</definedName>
    <definedName name="ENERGY___TELECOMS__T__LTD">#REF!</definedName>
    <definedName name="ENGDIFF">#REF!</definedName>
    <definedName name="english">#REF!</definedName>
    <definedName name="Enplas_Co.__S_pore__Pte_Ltd">#REF!</definedName>
    <definedName name="ENPLAS_CO.__Singapore__LTD">#REF!</definedName>
    <definedName name="ENS_CODE">#REF!</definedName>
    <definedName name="ENSO1">#REF!</definedName>
    <definedName name="ENSO2">#REF!</definedName>
    <definedName name="ENSO3">#REF!</definedName>
    <definedName name="ENT">#REF!</definedName>
    <definedName name="ENTERTAIN">#REF!</definedName>
    <definedName name="Entertainmentexp">#REF!</definedName>
    <definedName name="EntityList">"List Box 4"</definedName>
    <definedName name="ENY">#REF!</definedName>
    <definedName name="eqeqw">#REF!</definedName>
    <definedName name="Equalisasi">#REF!</definedName>
    <definedName name="er" hidden="1">{#N/A,#N/A,FALSE,"DATA"}</definedName>
    <definedName name="Eritrea_Electric_Authority">#REF!</definedName>
    <definedName name="Errors_CY">#REF!</definedName>
    <definedName name="Errors_PY">#REF!</definedName>
    <definedName name="ert">#REF!</definedName>
    <definedName name="ES" hidden="1">{#N/A,#N/A,FALSE,"DATA"}</definedName>
    <definedName name="esa" hidden="1">{#N/A,#N/A,FALSE,"DATA"}</definedName>
    <definedName name="Escatec_Engineering_LTD">#REF!</definedName>
    <definedName name="ESSD_INT">#REF!</definedName>
    <definedName name="ESTCOST">#REF!</definedName>
    <definedName name="ESTI">#REF!</definedName>
    <definedName name="estused">#REF!</definedName>
    <definedName name="eur">#REF!</definedName>
    <definedName name="EURO">#REF!</definedName>
    <definedName name="EURO_ORIENTAL_TRADING_CO_LT">#REF!</definedName>
    <definedName name="EURO1">#REF!</definedName>
    <definedName name="EURO2">#REF!</definedName>
    <definedName name="EV__LASTREFTIME__" hidden="1">"22/9/2008 7:53:05 AM"</definedName>
    <definedName name="EVERTRANSIT_CO">#REF!</definedName>
    <definedName name="EVI">#REF!</definedName>
    <definedName name="eWERWRQWR" hidden="1">{#N/A,#N/A,FALSE,"DATA"}</definedName>
    <definedName name="ExactAddinReports" hidden="1">1</definedName>
    <definedName name="Excel_BuiltIn__FilterDatabase_1">"$#REF!.$A$4:$EC$4"</definedName>
    <definedName name="Excel_BuiltIn__FilterDatabase_2">"$#REF!.$B$1:$IN$116"</definedName>
    <definedName name="Excel_BuiltIn_Criteria">#REF!</definedName>
    <definedName name="Excel_BuiltIn_Criteria_4">#REF!</definedName>
    <definedName name="Excel_BuiltIn_Database">#REF!</definedName>
    <definedName name="Excel_BuiltIn_Database_0">#REF!</definedName>
    <definedName name="Excel_BuiltIn_Database_1">#REF!</definedName>
    <definedName name="Excel_BuiltIn_Database_1_1">#REF!</definedName>
    <definedName name="Excel_BuiltIn_Extract">#REF!</definedName>
    <definedName name="Excel_BuiltIn_Print_Area">#REF!</definedName>
    <definedName name="Excel_BuiltIn_Print_Area_1">#REF!</definedName>
    <definedName name="Excel_BuiltIn_Print_Area_1___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0_1">"$#REF!.$D$242:$T$271"</definedName>
    <definedName name="Excel_BuiltIn_Print_Area_11">#REF!</definedName>
    <definedName name="Excel_BuiltIn_Print_Area_11_1">#REF!</definedName>
    <definedName name="Excel_BuiltIn_Print_Area_11_4">#REF!</definedName>
    <definedName name="Excel_BuiltIn_Print_Area_12_1">#REF!</definedName>
    <definedName name="Excel_BuiltIn_Print_Area_13">#REF!</definedName>
    <definedName name="Excel_BuiltIn_Print_Area_13_4">#REF!</definedName>
    <definedName name="Excel_BuiltIn_Print_Area_13_4_4">#REF!</definedName>
    <definedName name="Excel_BuiltIn_Print_Area_13_6">#REF!</definedName>
    <definedName name="Excel_BuiltIn_Print_Area_13_6_4">#REF!</definedName>
    <definedName name="Excel_BuiltIn_Print_Area_14">#REF!</definedName>
    <definedName name="Excel_BuiltIn_Print_Area_15">#REF!</definedName>
    <definedName name="Excel_BuiltIn_Print_Area_17_1">#REF!</definedName>
    <definedName name="Excel_BuiltIn_Print_Area_17_1_17">#REF!</definedName>
    <definedName name="Excel_BuiltIn_Print_Area_17_1_17_2">#REF!</definedName>
    <definedName name="Excel_BuiltIn_Print_Area_17_1_17_2_4">#REF!</definedName>
    <definedName name="Excel_BuiltIn_Print_Area_17_1_17_3">#REF!</definedName>
    <definedName name="Excel_BuiltIn_Print_Area_17_1_17_3_4">#REF!</definedName>
    <definedName name="Excel_BuiltIn_Print_Area_17_1_17_4">#REF!</definedName>
    <definedName name="Excel_BuiltIn_Print_Area_17_1_17_7">#REF!</definedName>
    <definedName name="Excel_BuiltIn_Print_Area_17_1_17_7_4">#REF!</definedName>
    <definedName name="Excel_BuiltIn_Print_Area_17_1_17_8">#REF!</definedName>
    <definedName name="Excel_BuiltIn_Print_Area_17_1_17_8_4">#REF!</definedName>
    <definedName name="Excel_BuiltIn_Print_Area_17_1_4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26">#REF!</definedName>
    <definedName name="Excel_BuiltIn_Print_Area_2_26_2">#REF!</definedName>
    <definedName name="Excel_BuiltIn_Print_Area_2_26_2_4">#REF!</definedName>
    <definedName name="Excel_BuiltIn_Print_Area_2_26_3">#REF!</definedName>
    <definedName name="Excel_BuiltIn_Print_Area_2_26_3_4">#REF!</definedName>
    <definedName name="Excel_BuiltIn_Print_Area_2_26_4">#REF!</definedName>
    <definedName name="Excel_BuiltIn_Print_Area_2_26_7">#REF!</definedName>
    <definedName name="Excel_BuiltIn_Print_Area_2_26_7_4">#REF!</definedName>
    <definedName name="Excel_BuiltIn_Print_Area_2_26_8">#REF!</definedName>
    <definedName name="Excel_BuiltIn_Print_Area_2_26_8_4">#REF!</definedName>
    <definedName name="Excel_BuiltIn_Print_Area_20_1">#REF!</definedName>
    <definedName name="Excel_BuiltIn_Print_Area_20_1_4">#REF!</definedName>
    <definedName name="Excel_BuiltIn_Print_Area_26">#REF!</definedName>
    <definedName name="Excel_BuiltIn_Print_Area_26_2">#REF!</definedName>
    <definedName name="Excel_BuiltIn_Print_Area_26_2_4">#REF!</definedName>
    <definedName name="Excel_BuiltIn_Print_Area_26_3">#REF!</definedName>
    <definedName name="Excel_BuiltIn_Print_Area_26_3_4">#REF!</definedName>
    <definedName name="Excel_BuiltIn_Print_Area_26_4">#REF!</definedName>
    <definedName name="Excel_BuiltIn_Print_Area_26_7">#REF!</definedName>
    <definedName name="Excel_BuiltIn_Print_Area_26_7_4">#REF!</definedName>
    <definedName name="Excel_BuiltIn_Print_Area_26_8">#REF!</definedName>
    <definedName name="Excel_BuiltIn_Print_Area_26_8_4">#REF!</definedName>
    <definedName name="Excel_BuiltIn_Print_Area_28_1">#REF!</definedName>
    <definedName name="Excel_BuiltIn_Print_Area_28_1_4">#REF!</definedName>
    <definedName name="Excel_BuiltIn_Print_Area_3___0">#REF!</definedName>
    <definedName name="Excel_BuiltIn_Print_Area_3_1">#REF!</definedName>
    <definedName name="Excel_BuiltIn_Print_Area_3_1_1">#REF!</definedName>
    <definedName name="Excel_BuiltIn_Print_Area_3_1_1_1">"$#REF!.$A$1:$I$56"</definedName>
    <definedName name="Excel_BuiltIn_Print_Area_3_1_1_1_1">NA()</definedName>
    <definedName name="Excel_BuiltIn_Print_Area_3_1_1_1_1_1">NA()</definedName>
    <definedName name="Excel_BuiltIn_Print_Area_4">#REF!</definedName>
    <definedName name="Excel_BuiltIn_Print_Area_4___0">#REF!</definedName>
    <definedName name="Excel_BuiltIn_Print_Area_4_1_1_1_1_1_1_1">"$#REF!.$A$778:$J$965"</definedName>
    <definedName name="Excel_BuiltIn_Print_Area_4_2">#REF!</definedName>
    <definedName name="Excel_BuiltIn_Print_Area_4_3">#REF!</definedName>
    <definedName name="Excel_BuiltIn_Print_Area_4_7">#REF!</definedName>
    <definedName name="Excel_BuiltIn_Print_Area_4_8">#REF!</definedName>
    <definedName name="Excel_BuiltIn_Print_Area_50">#N/A</definedName>
    <definedName name="Excel_BuiltIn_Print_Area_6">#REF!</definedName>
    <definedName name="Excel_BuiltIn_Print_Area_6_1">#REF!</definedName>
    <definedName name="Excel_BuiltIn_Print_Area_6_1_1">"$#REF!.#REF!#REF!:#REF!#REF!"</definedName>
    <definedName name="Excel_BuiltIn_Print_Area_6_1_1_1">"$#REF!.$B$5:$AJ$28"</definedName>
    <definedName name="Excel_BuiltIn_Print_Area_6_1_1_1_1">"$#REF!.$A$1:$AJ$27"</definedName>
    <definedName name="Excel_BuiltIn_Print_Area_6_1_1_1_1_1">"$#REF!.$A$1:$IT$65529"</definedName>
    <definedName name="Excel_BuiltIn_Print_Area_6_1_1_1_1_1_1">"$#REF!.$A$8:$Y$27"</definedName>
    <definedName name="Excel_BuiltIn_Print_Area_6_1_1_1_1_1_1_1">"$#REF!.$A$1:$IT$65528"</definedName>
    <definedName name="Excel_BuiltIn_Print_Area_6_1_1_7">"$#REF!.#REF!#REF!:#REF!#REF!"</definedName>
    <definedName name="Excel_BuiltIn_Print_Area_7">#REF!</definedName>
    <definedName name="Excel_BuiltIn_Print_Area_7_1">#REF!</definedName>
    <definedName name="Excel_BuiltIn_Print_Area_7_1_1">"$#REF!.$A$1:$AJ$80"</definedName>
    <definedName name="Excel_BuiltIn_Print_Area_7_1_1_1">"$#REF!.$B$7:$Y$81"</definedName>
    <definedName name="Excel_BuiltIn_Print_Area_7_1_4">#REF!</definedName>
    <definedName name="Excel_BuiltIn_Print_Area_8">#REF!</definedName>
    <definedName name="Excel_BuiltIn_Print_Area_9">#REF!</definedName>
    <definedName name="Excel_BuiltIn_Print_Area_9_1">"$#REF!.$#REF!$#REF!:$#REF!$#REF!"</definedName>
    <definedName name="Excel_BuiltIn_Print_Area_9_1_1">"$#REF!.$D$261:$P$288"</definedName>
    <definedName name="Excel_BuiltIn_Print_Titles">#REF!</definedName>
    <definedName name="Excel_BuiltIn_Print_Titles_1">#REF!</definedName>
    <definedName name="Excel_BuiltIn_Print_Titles_1_1">(#REF!,#REF!)</definedName>
    <definedName name="Excel_BuiltIn_Print_Titles_10">(#REF!,#REF!)</definedName>
    <definedName name="Excel_BuiltIn_Print_Titles_11">(#REF!,#REF!)</definedName>
    <definedName name="Excel_BuiltIn_Print_Titles_2">#REF!</definedName>
    <definedName name="Excel_BuiltIn_Print_Titles_2_1">#REF!</definedName>
    <definedName name="Excel_BuiltIn_Print_Titles_3">#REF!,#REF!</definedName>
    <definedName name="Excel_BuiltIn_Print_Titles_3___0">#REF!</definedName>
    <definedName name="Excel_BuiltIn_Print_Titles_3_1">(#REF!,#REF!)</definedName>
    <definedName name="Excel_BuiltIn_Print_Titles_4">#REF!,#REF!</definedName>
    <definedName name="Excel_BuiltIn_Print_Titles_4___0">#REF!</definedName>
    <definedName name="Excel_BuiltIn_Print_Titles_4_1">(#REF!,#REF!)</definedName>
    <definedName name="Excel_BuiltIn_Print_Titles_4_1_1">(#REF!,#REF!)</definedName>
    <definedName name="Excel_BuiltIn_Print_Titles_5">(#REF!,#REF!)</definedName>
    <definedName name="Excel_BuiltIn_Print_Titles_5_1_1">(#REF!,#REF!)</definedName>
    <definedName name="Excel_BuiltIn_Print_Titles_6">#REF!,#REF!</definedName>
    <definedName name="Excel_BuiltIn_Print_Titles_6_1">(#REF!,#REF!)</definedName>
    <definedName name="Excel_BuiltIn_Print_Titles_6_1_1">(#REF!,#REF!)</definedName>
    <definedName name="Excel_BuiltIn_Print_Titles_7_1">(#REF!,#REF!)</definedName>
    <definedName name="Excel_BuiltIn_Print_Titles_8_1">(#REF!,#REF!)</definedName>
    <definedName name="exit">#REF!</definedName>
    <definedName name="exit_1">#REF!</definedName>
    <definedName name="exittax">#REF!</definedName>
    <definedName name="exittaxtotal">#REF!</definedName>
    <definedName name="Exp_Incr">#REF!</definedName>
    <definedName name="Expected_balance">#REF!</definedName>
    <definedName name="expodep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t">#REF!</definedName>
    <definedName name="Extra_Pay">#REF!</definedName>
    <definedName name="_xlnm.Extract">#REF!</definedName>
    <definedName name="Extract_MI">#REF!</definedName>
    <definedName name="EYAS">#REF!</definedName>
    <definedName name="eyayeye">#REF!</definedName>
    <definedName name="eyyeeyey">#REF!</definedName>
    <definedName name="eyyeryerery">#REF!</definedName>
    <definedName name="f">#REF!</definedName>
    <definedName name="FA_Life">#REF!</definedName>
    <definedName name="FA_MOV_AUDITED">#N/A</definedName>
    <definedName name="FAAA" hidden="1">{"'Key fig. Rpt'!$B$5:$K$94"}</definedName>
    <definedName name="FACTORY">#REF!</definedName>
    <definedName name="factory_mach">#REF!</definedName>
    <definedName name="factory_mach_1">#REF!</definedName>
    <definedName name="FAFAFASF">#REF!</definedName>
    <definedName name="fak_lsa">#REF!</definedName>
    <definedName name="fakt_uuk">#REF!</definedName>
    <definedName name="FAR_TABLE">#REF!</definedName>
    <definedName name="fasfawf">#REF!</definedName>
    <definedName name="FCD_PMT">#N/A</definedName>
    <definedName name="fdffsdfsdfdfs">#REF!</definedName>
    <definedName name="fdg" hidden="1">#REF!</definedName>
    <definedName name="FEB">#REF!</definedName>
    <definedName name="feb00">#REF!</definedName>
    <definedName name="FebAv00">#REF!</definedName>
    <definedName name="Feed_Sold_Prospek">#REF!</definedName>
    <definedName name="Feed_Used_Farm">#REF!</definedName>
    <definedName name="FEI">#REF!</definedName>
    <definedName name="FER">#REF!</definedName>
    <definedName name="fesefwas">#REF!</definedName>
    <definedName name="FF">#REF!</definedName>
    <definedName name="fff">#REF!</definedName>
    <definedName name="FFFF" hidden="1">#REF!</definedName>
    <definedName name="FFR">#REF!</definedName>
    <definedName name="FGSGFSG" localSheetId="2">Ongoing</definedName>
    <definedName name="FGSGFSG">Ongoing</definedName>
    <definedName name="FH">#REF!</definedName>
    <definedName name="fifo">#REF!</definedName>
    <definedName name="FILE">"SS"</definedName>
    <definedName name="FILE1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l" hidden="1">#REF!</definedName>
    <definedName name="fin">#REF!</definedName>
    <definedName name="FIN_PERF">#REF!</definedName>
    <definedName name="final">#REF!</definedName>
    <definedName name="finale">#REF!</definedName>
    <definedName name="Finance">#REF!</definedName>
    <definedName name="Financial_Services">#REF!,#REF!,#REF!,#REF!,#REF!,#REF!,#REF!</definedName>
    <definedName name="finish">#REF!</definedName>
    <definedName name="FIPRO1">#REF!</definedName>
    <definedName name="FIPRO10">#REF!</definedName>
    <definedName name="FIPRO11">#REF!</definedName>
    <definedName name="FIPRO12">#REF!</definedName>
    <definedName name="FIPRO13">#REF!</definedName>
    <definedName name="FIPRO14">#REF!</definedName>
    <definedName name="FIPRO15">#REF!</definedName>
    <definedName name="FIPRO16">#REF!</definedName>
    <definedName name="FIPRO17">#REF!</definedName>
    <definedName name="FIPRO18">#REF!</definedName>
    <definedName name="FIPRO19">#REF!</definedName>
    <definedName name="FIPRO2">#REF!</definedName>
    <definedName name="FIPRO20">#REF!</definedName>
    <definedName name="FIPRO21">#REF!</definedName>
    <definedName name="FIPRO22">#REF!</definedName>
    <definedName name="FIPRO23">#REF!</definedName>
    <definedName name="FIPRO24">#REF!</definedName>
    <definedName name="FIPRO25">#REF!</definedName>
    <definedName name="FIPRO26">#REF!</definedName>
    <definedName name="FIPRO27">#REF!</definedName>
    <definedName name="FIPRO28">#REF!</definedName>
    <definedName name="FIPRO29">#REF!</definedName>
    <definedName name="FIPRO3">#REF!</definedName>
    <definedName name="FIPRO30">#REF!</definedName>
    <definedName name="FIPRO32">#REF!</definedName>
    <definedName name="FIPRO4">#REF!</definedName>
    <definedName name="FIPRO5">#REF!</definedName>
    <definedName name="FIPRO6">#REF!</definedName>
    <definedName name="FIPRO7">#REF!</definedName>
    <definedName name="FIPRO8">#REF!</definedName>
    <definedName name="FIPRO9">#REF!</definedName>
    <definedName name="FIPROD24">#REF!</definedName>
    <definedName name="FirstCols">12</definedName>
    <definedName name="fiscalprofits">#REF!</definedName>
    <definedName name="Fiscloss">#REF!</definedName>
    <definedName name="fiscoba">#REF!</definedName>
    <definedName name="fiskal" hidden="1">#REF!</definedName>
    <definedName name="FITRI">#REF!</definedName>
    <definedName name="FIVEPLAN">#REF!</definedName>
    <definedName name="FixAss">#REF!</definedName>
    <definedName name="Fixedasset">#REF!</definedName>
    <definedName name="FIXMAR">#REF!</definedName>
    <definedName name="fjfhjfj">#REF!</definedName>
    <definedName name="fk_gj_jst">#REF!</definedName>
    <definedName name="FLASH_LIGHT_PRODUCTION_CO.">#REF!</definedName>
    <definedName name="Flex">#REF!</definedName>
    <definedName name="Follow_UP">#REF!</definedName>
    <definedName name="For_TB_YTD">#REF!</definedName>
    <definedName name="form_17">#REF!</definedName>
    <definedName name="form35_eom_carho">#REF!</definedName>
    <definedName name="FORNISMO">#REF!</definedName>
    <definedName name="foundation">#REF!</definedName>
    <definedName name="FP">#REF!</definedName>
    <definedName name="FRATELLI_PEREGO">#REF!</definedName>
    <definedName name="frek_lsa">#REF!</definedName>
    <definedName name="FRF">#REF!</definedName>
    <definedName name="fries_density">#REF!</definedName>
    <definedName name="Fries_Prod">#REF!</definedName>
    <definedName name="From">#REF!</definedName>
    <definedName name="fs">#REF!</definedName>
    <definedName name="fsdfewsfsd">#REF!</definedName>
    <definedName name="FUELHEQ">#REF!</definedName>
    <definedName name="FULL_ACCOUNT">#REF!</definedName>
    <definedName name="Full_Print">#REF!</definedName>
    <definedName name="Full_Print_39">#REF!</definedName>
    <definedName name="Full_Print_40">#REF!</definedName>
    <definedName name="Full_Print_48">#REF!</definedName>
    <definedName name="Full_Print_49">#REF!</definedName>
    <definedName name="Full_Print_50">#REF!</definedName>
    <definedName name="Full_Print_51">#REF!</definedName>
    <definedName name="Full_Print_7">#REF!</definedName>
    <definedName name="fund3PFCY">#REF!,#REF!</definedName>
    <definedName name="FUNG_NON">#REF!</definedName>
    <definedName name="FUNG_PRO">#REF!</definedName>
    <definedName name="FURNITUR">#REF!</definedName>
    <definedName name="furniture_factory">#REF!</definedName>
    <definedName name="furniture_factory_1">#REF!</definedName>
    <definedName name="furniture_office">#REF!</definedName>
    <definedName name="furniture_office_1">#REF!</definedName>
    <definedName name="FUYFU">#REF!</definedName>
    <definedName name="fwd_p">#REF!</definedName>
    <definedName name="fwd_s">#REF!</definedName>
    <definedName name="fxrate">#REF!</definedName>
    <definedName name="fy05_q3_mod">#REF!</definedName>
    <definedName name="fy05_q3_mod_sheet1">#REF!</definedName>
    <definedName name="G">#REF!</definedName>
    <definedName name="G2.2.">#REF!</definedName>
    <definedName name="GA_DI">#REF!</definedName>
    <definedName name="GA_DSN">#REF!</definedName>
    <definedName name="GA_LK">#REF!</definedName>
    <definedName name="gains">#REF!</definedName>
    <definedName name="gaji">#REF!</definedName>
    <definedName name="Ganz_Hungary">#REF!</definedName>
    <definedName name="GANZ_MEROGYAR_KFT">#REF!</definedName>
    <definedName name="GARIS">#REF!</definedName>
    <definedName name="GARUT">#N/A</definedName>
    <definedName name="gasing">#REF!</definedName>
    <definedName name="GBP">#REF!</definedName>
    <definedName name="gbpq1">#REF!</definedName>
    <definedName name="gbpq2">#REF!</definedName>
    <definedName name="gbpq3">#REF!</definedName>
    <definedName name="gbpq4">#REF!</definedName>
    <definedName name="GDDFDD" hidden="1">{"'Key fig. Rpt'!$B$5:$K$94"}</definedName>
    <definedName name="GDFG" hidden="1">{"'Key fig. Rpt'!$B$5:$K$94"}</definedName>
    <definedName name="gdfgart">#REF!</definedName>
    <definedName name="GDFHDHD">#REF!</definedName>
    <definedName name="GDGGDGD" hidden="1">{"'Key fig. Rpt'!$B$5:$K$94"}</definedName>
    <definedName name="gemci">#REF!</definedName>
    <definedName name="Gender">#REF!</definedName>
    <definedName name="GENERAL">#REF!</definedName>
    <definedName name="GENERALEXP.">#REF!</definedName>
    <definedName name="gfdgdghd">#REF!</definedName>
    <definedName name="gfgf" hidden="1">{"'Key fig. Rpt'!$B$5:$K$94"}</definedName>
    <definedName name="gfgfgf" localSheetId="2">Srv</definedName>
    <definedName name="gfgfgf">Srv</definedName>
    <definedName name="gfhsfhfh" hidden="1">{"'Key fig. Rpt'!$B$5:$K$94"}</definedName>
    <definedName name="gflgfh">#REF!</definedName>
    <definedName name="GGFDFDFDFGD" hidden="1">{"'Key fig. Rpt'!$B$5:$K$94"}</definedName>
    <definedName name="GGFDGD" localSheetId="2">Ongoing</definedName>
    <definedName name="GGFDGD">Ongoing</definedName>
    <definedName name="GGG">#REF!</definedName>
    <definedName name="ghdasfh">#REF!</definedName>
    <definedName name="ghdhdfhadh">#N/A</definedName>
    <definedName name="GHGHGHH" hidden="1">{"'Key fig. Rpt'!$B$5:$K$94"}</definedName>
    <definedName name="ghjhjhj">#REF!</definedName>
    <definedName name="ghsgagh">#REF!</definedName>
    <definedName name="ghsggbgfh" hidden="1">{"'Key fig. Rpt'!$B$5:$K$94"}</definedName>
    <definedName name="GILL" hidden="1">#REF!</definedName>
    <definedName name="GJ_Credit">#REF!</definedName>
    <definedName name="GJ_DataAcctCode">#REF!</definedName>
    <definedName name="GJ_DataCredit">#REF!</definedName>
    <definedName name="GJ_DataDebit">#REF!</definedName>
    <definedName name="GJ_Debit">#REF!</definedName>
    <definedName name="gjjtyuj">#REF!</definedName>
    <definedName name="GKLAK">#REF!</definedName>
    <definedName name="gl">#REF!</definedName>
    <definedName name="gl_ver1">#REF!</definedName>
    <definedName name="gl0730_1">#REF!</definedName>
    <definedName name="gl0730_10">#REF!</definedName>
    <definedName name="gl0730_11">#REF!</definedName>
    <definedName name="gl0730_12">#REF!</definedName>
    <definedName name="gl0730_13">#REF!</definedName>
    <definedName name="gl0730_14">#REF!</definedName>
    <definedName name="gl0730_15">#REF!</definedName>
    <definedName name="gl0730_16">#REF!</definedName>
    <definedName name="gl0730_17">#REF!</definedName>
    <definedName name="gl0730_18">#REF!</definedName>
    <definedName name="gl0730_19">#REF!</definedName>
    <definedName name="gl0730_2">#REF!</definedName>
    <definedName name="gl0730_20">#REF!</definedName>
    <definedName name="gl0730_21">#REF!</definedName>
    <definedName name="gl0730_22">#REF!</definedName>
    <definedName name="gl0730_23">#REF!</definedName>
    <definedName name="gl0730_24">#REF!</definedName>
    <definedName name="gl0730_25">#REF!</definedName>
    <definedName name="gl0730_26">#REF!</definedName>
    <definedName name="gl0730_27">#REF!</definedName>
    <definedName name="gl0730_28">#REF!</definedName>
    <definedName name="gl0730_29">#REF!</definedName>
    <definedName name="gl0730_3">#REF!</definedName>
    <definedName name="gl0730_30">#REF!</definedName>
    <definedName name="gl0730_4">#REF!</definedName>
    <definedName name="gl0730_5">#REF!</definedName>
    <definedName name="gl0730_6">#REF!</definedName>
    <definedName name="gl0730_7">#REF!</definedName>
    <definedName name="gl0730_8">#REF!</definedName>
    <definedName name="gl0730_9">#REF!</definedName>
    <definedName name="GLOAKHIRBS0803">#REF!</definedName>
    <definedName name="GLTB">#REF!</definedName>
    <definedName name="Goa">#REF!</definedName>
    <definedName name="GOL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VTBORNE">#REF!</definedName>
    <definedName name="gowa">#REF!</definedName>
    <definedName name="gps">#REF!</definedName>
    <definedName name="GRAEME">#REF!</definedName>
    <definedName name="GrandTotal">#N/A</definedName>
    <definedName name="gross">#REF!</definedName>
    <definedName name="grossincome">#REF!</definedName>
    <definedName name="GSGFSAGWRGW">#N/A</definedName>
    <definedName name="GT">#REF!</definedName>
    <definedName name="GUNAWAN">#REF!</definedName>
    <definedName name="H">#REF!</definedName>
    <definedName name="H_Equipment">#REF!</definedName>
    <definedName name="hADY">#REF!</definedName>
    <definedName name="HAHHAAA">#REF!</definedName>
    <definedName name="HandCharges">#REF!</definedName>
    <definedName name="HAP">#REF!</definedName>
    <definedName name="hapcpn">#REF!</definedName>
    <definedName name="hapsrg">#REF!</definedName>
    <definedName name="HAPUS1">#REF!</definedName>
    <definedName name="HAPUS2">#REF!</definedName>
    <definedName name="HAPUS3">#REF!</definedName>
    <definedName name="har">#REF!</definedName>
    <definedName name="harga">#REF!</definedName>
    <definedName name="HARGA_BELI">#REF!</definedName>
    <definedName name="Harv_Size">#REF!</definedName>
    <definedName name="HASIL">#REF!</definedName>
    <definedName name="HDFDFHDFHHDF" localSheetId="2">Ongoing</definedName>
    <definedName name="HDFDFHDFHHDF">Ongoing</definedName>
    <definedName name="HDHDDHDH" hidden="1">{"'Key fig. Rpt'!$B$5:$K$94"}</definedName>
    <definedName name="Header">#REF!</definedName>
    <definedName name="Header_Row">ROW(#REF!)</definedName>
    <definedName name="Header_Row_39">ROW(#REF!)</definedName>
    <definedName name="Header_Row_40">ROW(#REF!)</definedName>
    <definedName name="Header_Row_48">ROW(#REF!)</definedName>
    <definedName name="Header_Row_49">ROW(#REF!)</definedName>
    <definedName name="Header_Row_50">ROW(#REF!)</definedName>
    <definedName name="Header_Row_51">ROW(#REF!)</definedName>
    <definedName name="Header_Row_7">ROW(#REF!)</definedName>
    <definedName name="HEADING">#N/A</definedName>
    <definedName name="HELMI">#REF!</definedName>
    <definedName name="HERI">#REF!</definedName>
    <definedName name="Herland">#REF!</definedName>
    <definedName name="Heru">#REF!</definedName>
    <definedName name="Heru_40">#REF!</definedName>
    <definedName name="Heru_48">#REF!</definedName>
    <definedName name="Heru_49">#REF!</definedName>
    <definedName name="Heru_5">#REF!</definedName>
    <definedName name="Heru_50">#REF!</definedName>
    <definedName name="Heru_51">#REF!</definedName>
    <definedName name="Heru_7">#REF!</definedName>
    <definedName name="HEXE">#REF!</definedName>
    <definedName name="HFWUQYIUYRP" hidden="1">{#N/A,#N/A,FALSE,"Aging Summary";#N/A,#N/A,FALSE,"Ratio Analysis";#N/A,#N/A,FALSE,"Test 120 Day Accts";#N/A,#N/A,FALSE,"Tickmarks"}</definedName>
    <definedName name="hgfd">#REF!</definedName>
    <definedName name="hghh">#REF!</definedName>
    <definedName name="hh">#REF!</definedName>
    <definedName name="hhfdghdfg">#REF!</definedName>
    <definedName name="HHH">#REF!</definedName>
    <definedName name="hhhhh">#REF!</definedName>
    <definedName name="HILANG">#REF!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tung">#REF!</definedName>
    <definedName name="HITUNG1">#REF!</definedName>
    <definedName name="hjgjghjdg">#REF!</definedName>
    <definedName name="HJK" hidden="1">{#N/A,#N/A,FALSE,"DATA"}</definedName>
    <definedName name="HL_IDRPrice">#REF!</definedName>
    <definedName name="HL_USPrice">#REF!</definedName>
    <definedName name="HO_Price">#REF!</definedName>
    <definedName name="homeaddress">#REF!</definedName>
    <definedName name="homephone">#REF!</definedName>
    <definedName name="Hotel_Name">#REF!</definedName>
    <definedName name="House___Etc">#REF!</definedName>
    <definedName name="HP" hidden="1">{#N/A,#N/A,FALSE,"Aging Summary";#N/A,#N/A,FALSE,"Ratio Analysis";#N/A,#N/A,FALSE,"Test 120 Day Accts";#N/A,#N/A,FALSE,"Tickmarks"}</definedName>
    <definedName name="hpab">#REF!</definedName>
    <definedName name="hpp">#REF!</definedName>
    <definedName name="HPP_0503">#REF!</definedName>
    <definedName name="HPP_0503_CPN">#REF!</definedName>
    <definedName name="HPP_BKS">#REF!</definedName>
    <definedName name="HPP_CPN">#REF!</definedName>
    <definedName name="HPP_LK">#REF!</definedName>
    <definedName name="HPP_NON">#REF!</definedName>
    <definedName name="HPP_SRG">#REF!</definedName>
    <definedName name="HPPBKS">#REF!</definedName>
    <definedName name="HPPCPN">#REF!</definedName>
    <definedName name="hppjtng11">#REF!</definedName>
    <definedName name="HPPNON">#REF!</definedName>
    <definedName name="hpppkl1203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Q_SII_BRANCH">#REF!</definedName>
    <definedName name="hrd">#REF!</definedName>
    <definedName name="hsdghdfghadfg">#REF!</definedName>
    <definedName name="HTG">#REF!</definedName>
    <definedName name="HTML_CodePage" hidden="1">9</definedName>
    <definedName name="HTML_Control" hidden="1">{"'Key fig. Rpt'!$B$5:$K$94"}</definedName>
    <definedName name="HTML_Control1" hidden="1">{"'Key fig. Rpt'!$B$5:$K$94"}</definedName>
    <definedName name="HTML_Description" hidden="1">""</definedName>
    <definedName name="HTML_Email" hidden="1">""</definedName>
    <definedName name="HTML_Header" hidden="1">""</definedName>
    <definedName name="HTML_LastUpdate" hidden="1">"12/21/98"</definedName>
    <definedName name="HTML_LineAfter" hidden="1">FALSE</definedName>
    <definedName name="HTML_LineBefore" hidden="1">FALSE</definedName>
    <definedName name="HTML_Name" hidden="1">"Sabrina Wong"</definedName>
    <definedName name="HTML_OBDlg2" hidden="1">TRUE</definedName>
    <definedName name="HTML_OBDlg4" hidden="1">TRUE</definedName>
    <definedName name="HTML_OS" hidden="1">0</definedName>
    <definedName name="HTML_PathFile" hidden="1">"L:\EIS-C\keyfig.htm"</definedName>
    <definedName name="HTML_Title" hidden="1">""</definedName>
    <definedName name="HTNG">#REF!</definedName>
    <definedName name="hweuqwheqheqj">#N/A</definedName>
    <definedName name="HWSheet">1</definedName>
    <definedName name="Hyun">#REF!</definedName>
    <definedName name="I">#N/A</definedName>
    <definedName name="i_bs">#REF!</definedName>
    <definedName name="ID">#REF!</definedName>
    <definedName name="IDR">#REF!</definedName>
    <definedName name="IFO">#REF!</definedName>
    <definedName name="III" hidden="1">{#N/A,#N/A,FALSE,"Aging Summary";#N/A,#N/A,FALSE,"Ratio Analysis";#N/A,#N/A,FALSE,"Test 120 Day Accts";#N/A,#N/A,FALSE,"Tickmarks"}</definedName>
    <definedName name="IIIIII" hidden="1">#REF!</definedName>
    <definedName name="ijk">#REF!</definedName>
    <definedName name="ikhtisar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yas">#REF!</definedName>
    <definedName name="immov">#REF!</definedName>
    <definedName name="in" hidden="1">{#N/A,#N/A,FALSE,"DATA"}</definedName>
    <definedName name="in_procces_7">#REF!</definedName>
    <definedName name="INAL_INDUSTRIA_NACIONAL_DE">#REF!</definedName>
    <definedName name="inboundincomes">#REF!</definedName>
    <definedName name="INC_TAX">#N/A</definedName>
    <definedName name="incDepr">#REF!</definedName>
    <definedName name="INCO">#REF!</definedName>
    <definedName name="Income_tax_23_1">#REF!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>#REF!</definedName>
    <definedName name="INCOME07">#REF!</definedName>
    <definedName name="INCOME08">#REF!</definedName>
    <definedName name="INCOME09">#REF!</definedName>
    <definedName name="INCOME10">#REF!</definedName>
    <definedName name="INCOME11">#REF!</definedName>
    <definedName name="INCOME12">#REF!</definedName>
    <definedName name="INDEKS">#REF!</definedName>
    <definedName name="Index">#REF!</definedName>
    <definedName name="indonesian">#REF!</definedName>
    <definedName name="induk">#REF!</definedName>
    <definedName name="industry">#REF!</definedName>
    <definedName name="ingot">4500</definedName>
    <definedName name="Initial_Communication">#REF!</definedName>
    <definedName name="inputform3">#REF!</definedName>
    <definedName name="INR">#REF!</definedName>
    <definedName name="InRp">#REF!</definedName>
    <definedName name="INS.TTL">#REF!</definedName>
    <definedName name="insa">#N/A</definedName>
    <definedName name="installment">#REF!</definedName>
    <definedName name="Instrimpek_Pudong_Import">#REF!</definedName>
    <definedName name="Int">#REF!</definedName>
    <definedName name="Int_Cost">#REF!</definedName>
    <definedName name="Intercompany">#N/A</definedName>
    <definedName name="interes">#REF!</definedName>
    <definedName name="interest">#REF!</definedName>
    <definedName name="INTEREST_4">#REF!</definedName>
    <definedName name="Interest_Rate">#REF!</definedName>
    <definedName name="Interest_Rate_39">#REF!</definedName>
    <definedName name="Interest_Rate_40">#REF!</definedName>
    <definedName name="Interest_Rate_48">#REF!</definedName>
    <definedName name="Interest_Rate_49">#REF!</definedName>
    <definedName name="Interest_Rate_50">#REF!</definedName>
    <definedName name="Interest_Rate_51">#REF!</definedName>
    <definedName name="Interest_Rate_7">#REF!</definedName>
    <definedName name="Interval_cutoff">#REF!</definedName>
    <definedName name="INTONLOAN">#REF!</definedName>
    <definedName name="INV">#REF!</definedName>
    <definedName name="INVB">#REF!</definedName>
    <definedName name="invChange">#REF!</definedName>
    <definedName name="inventories">#REF!</definedName>
    <definedName name="investmentfund">#REF!</definedName>
    <definedName name="invoice">#REF!</definedName>
    <definedName name="IR_Tab1">#REF!</definedName>
    <definedName name="IR_Tab2">#REF!</definedName>
    <definedName name="irrc">#REF!</definedName>
    <definedName name="IrregularIncome">#REF!</definedName>
    <definedName name="IRRSC">#REF!</definedName>
    <definedName name="IRRSC_4">#REF!</definedName>
    <definedName name="ISO_BUT">#REF!</definedName>
    <definedName name="istft">#REF!</definedName>
    <definedName name="iuyuiyui">#REF!</definedName>
    <definedName name="j">#REF!</definedName>
    <definedName name="J_cutoff">#REF!</definedName>
    <definedName name="JAER" hidden="1">{#N/A,#N/A,FALSE,"DATA"}</definedName>
    <definedName name="JAKARTA">#REF!</definedName>
    <definedName name="Jakarta_Int_l_School">#REF!</definedName>
    <definedName name="JAMUAN_MAKAN">#REF!</definedName>
    <definedName name="jan">#REF!</definedName>
    <definedName name="Jan_5__06_Thu">#REF!</definedName>
    <definedName name="jan00">#REF!</definedName>
    <definedName name="JanAV00">#REF!</definedName>
    <definedName name="januari">#REF!</definedName>
    <definedName name="JARS">#REF!</definedName>
    <definedName name="jas" hidden="1">#REF!</definedName>
    <definedName name="JASA">#REF!</definedName>
    <definedName name="JASAAGUST">#REF!</definedName>
    <definedName name="JASAAP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CPN">#REF!</definedName>
    <definedName name="Je">#REF!</definedName>
    <definedName name="JED">#REF!</definedName>
    <definedName name="Jenis_Kendaraan">#REF!</definedName>
    <definedName name="JenisAktiva">#REF!</definedName>
    <definedName name="jenisusaha">#N/A</definedName>
    <definedName name="JERSEY_INDUSTRIAL_COMPANY_L">#REF!</definedName>
    <definedName name="JFJJYUTRYTRU" localSheetId="2">InputModel</definedName>
    <definedName name="JFJJYUTRYTRU">InputModel</definedName>
    <definedName name="JHT">#REF!</definedName>
    <definedName name="JIANGDU_FOREIGN_TRADE_CORPO">#REF!</definedName>
    <definedName name="jj">#REF!</definedName>
    <definedName name="jjj" hidden="1">{#N/A,#N/A,FALSE,"Aging Summary";#N/A,#N/A,FALSE,"Ratio Analysis";#N/A,#N/A,FALSE,"Test 120 Day Accts";#N/A,#N/A,FALSE,"Tickmarks"}</definedName>
    <definedName name="JML">#REF!</definedName>
    <definedName name="Jml_SL">#REF!</definedName>
    <definedName name="Jml_SL_Mchn_L1">#REF!</definedName>
    <definedName name="Jml_SS">#REF!</definedName>
    <definedName name="Jml_SS_Mchn_L1">#REF!</definedName>
    <definedName name="JML_USD">#REF!</definedName>
    <definedName name="Jmlbulan">#REF!</definedName>
    <definedName name="jmlsanksi25_fis">#N/A</definedName>
    <definedName name="JNLBK">#REF!</definedName>
    <definedName name="JNLBM">#REF!</definedName>
    <definedName name="JNLKKDUA">#REF!</definedName>
    <definedName name="JNLKKEMPAT">#REF!</definedName>
    <definedName name="JNLKKTIGA">#REF!</definedName>
    <definedName name="JNY">#REF!</definedName>
    <definedName name="jo">#REF!</definedName>
    <definedName name="JOHAN">#REF!</definedName>
    <definedName name="JOHNSON">#REF!</definedName>
    <definedName name="JOINT_VENTURE_TRADING_CO._L">#REF!</definedName>
    <definedName name="joni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urnal_Details">#REF!</definedName>
    <definedName name="Journal_Headers">#REF!</definedName>
    <definedName name="jpt">#REF!</definedName>
    <definedName name="jpy">#REF!</definedName>
    <definedName name="JPY_S">#REF!</definedName>
    <definedName name="JSRG">#REF!</definedName>
    <definedName name="JT">#REF!</definedName>
    <definedName name="JTGR">#REF!</definedName>
    <definedName name="JUAL">#N/A</definedName>
    <definedName name="JUAL06">#REF!</definedName>
    <definedName name="JUAL10">#REF!</definedName>
    <definedName name="jual11">#REF!</definedName>
    <definedName name="jual12">#REF!</definedName>
    <definedName name="JUALBKS">#REF!</definedName>
    <definedName name="jualcpn">#REF!</definedName>
    <definedName name="jualkotor">#REF!</definedName>
    <definedName name="JUALNON">#REF!</definedName>
    <definedName name="jualsrg">#REF!</definedName>
    <definedName name="JUALTGR">#REF!</definedName>
    <definedName name="Judgments_CY">#REF!</definedName>
    <definedName name="Judgments_PY">#REF!</definedName>
    <definedName name="JudulKKP">#REF!</definedName>
    <definedName name="JUHAI">#REF!</definedName>
    <definedName name="JUIN">#REF!</definedName>
    <definedName name="JUKEN_TECHNOLOGY__S__PTE_LT">#REF!</definedName>
    <definedName name="JUL">#REF!</definedName>
    <definedName name="Jul_02">#REF!</definedName>
    <definedName name="jul00">#REF!</definedName>
    <definedName name="JulAv00">#REF!</definedName>
    <definedName name="julie1">#REF!</definedName>
    <definedName name="julie2">#REF!</definedName>
    <definedName name="julie5">#REF!</definedName>
    <definedName name="julie7">#REF!</definedName>
    <definedName name="julspt">#REF!</definedName>
    <definedName name="JUMLAH_BULANAN">#REF!</definedName>
    <definedName name="JUN">#REF!</definedName>
    <definedName name="Jun__97_Sheet2_List">#REF!</definedName>
    <definedName name="Jun_02">#REF!</definedName>
    <definedName name="JUN00">#REF!</definedName>
    <definedName name="JunAv00">#REF!</definedName>
    <definedName name="jurnal">#REF!</definedName>
    <definedName name="JurnBNI">#REF!</definedName>
    <definedName name="K">#REF!</definedName>
    <definedName name="K1_">#REF!</definedName>
    <definedName name="K2_">#REF!</definedName>
    <definedName name="kabid">#N/A</definedName>
    <definedName name="kacau" hidden="1">#REF!</definedName>
    <definedName name="kadal">#REF!</definedName>
    <definedName name="kagt97">#REF!</definedName>
    <definedName name="kagt98">#REF!</definedName>
    <definedName name="KAKAA">#REF!</definedName>
    <definedName name="KANTOR">#REF!</definedName>
    <definedName name="KAREB">#REF!</definedName>
    <definedName name="KAREB_PERF">#REF!</definedName>
    <definedName name="karnann">#REF!</definedName>
    <definedName name="Kartu_Buku_Besar_2005__DES_">#REF!</definedName>
    <definedName name="Kartu_Buku_Besar_2006_Feb">#REF!</definedName>
    <definedName name="KAS">#REF!</definedName>
    <definedName name="kategoria">#REF!</definedName>
    <definedName name="kategorib">#REF!</definedName>
    <definedName name="KawasanIndustri_Jababeka">#REF!</definedName>
    <definedName name="KBM">#REF!</definedName>
    <definedName name="KD_BRG">#REF!</definedName>
    <definedName name="kdes97">#REF!</definedName>
    <definedName name="kdes98">#REF!</definedName>
    <definedName name="KELUAR">#REF!</definedName>
    <definedName name="KENDARAAN">#REF!</definedName>
    <definedName name="kepala">#N/A</definedName>
    <definedName name="KERJA">#REF!</definedName>
    <definedName name="KERJA1">#REF!</definedName>
    <definedName name="KET">#REF!</definedName>
    <definedName name="ketuatim">#N/A</definedName>
    <definedName name="kewajiban_lain_lain">#REF!</definedName>
    <definedName name="Key_Speed_Sdw">#REF!</definedName>
    <definedName name="kjul97">#REF!</definedName>
    <definedName name="kjul98">#REF!</definedName>
    <definedName name="KK">#REF!</definedName>
    <definedName name="KK_1">#REF!</definedName>
    <definedName name="KK_INTERCONNECT">#REF!</definedName>
    <definedName name="KKK">#REF!</definedName>
    <definedName name="KKK_1">#REF!</definedName>
    <definedName name="KKKKK">#REF!</definedName>
    <definedName name="kkkkkk">#REF!</definedName>
    <definedName name="klien">#REF!</definedName>
    <definedName name="KM" hidden="1">#REF!</definedName>
    <definedName name="KMMEI">#REF!</definedName>
    <definedName name="KMMEIO">#REF!</definedName>
    <definedName name="knov97">#REF!</definedName>
    <definedName name="knov98">#REF!</definedName>
    <definedName name="KODE">#REF!</definedName>
    <definedName name="KODE_1">#REF!</definedName>
    <definedName name="KODE_HTG">#REF!</definedName>
    <definedName name="KODE_TGR">#REF!</definedName>
    <definedName name="KodeAktiva">#REF!</definedName>
    <definedName name="kodekartu">#REF!</definedName>
    <definedName name="kodesup">#REF!</definedName>
    <definedName name="KodeWilayah">#REF!</definedName>
    <definedName name="kokt97">#REF!</definedName>
    <definedName name="kokt98">#REF!</definedName>
    <definedName name="kollllllll">#REF!</definedName>
    <definedName name="KOLOM">#REF!</definedName>
    <definedName name="KOM_FA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hidden="1">{#N/A,#N/A,FALSE,"Aging Summary";#N/A,#N/A,FALSE,"Ratio Analysis";#N/A,#N/A,FALSE,"Test 120 Day Accts";#N/A,#N/A,FALSE,"Tickmarks"}</definedName>
    <definedName name="kOND">#REF!</definedName>
    <definedName name="konsensi">#REF!</definedName>
    <definedName name="KONTINJENSI">#REF!</definedName>
    <definedName name="KONTRAK">#REF!</definedName>
    <definedName name="kop">#REF!</definedName>
    <definedName name="kopRIN">#REF!</definedName>
    <definedName name="KOREK1">#N/A</definedName>
    <definedName name="kota">#N/A</definedName>
    <definedName name="kre">#REF!</definedName>
    <definedName name="Kredit">#REF!</definedName>
    <definedName name="kredit_fis">#N/A</definedName>
    <definedName name="ksep97">#REF!</definedName>
    <definedName name="ksep98">#REF!</definedName>
    <definedName name="KSL_LAINNYA">#REF!</definedName>
    <definedName name="KU_WESEL">#REF!</definedName>
    <definedName name="Kumho_Metertech_INC">#REF!</definedName>
    <definedName name="kumulasi">#REF!</definedName>
    <definedName name="Kurihara_Kogyo_Co._LTD">#REF!</definedName>
    <definedName name="kurs">#REF!</definedName>
    <definedName name="kurs1">#REF!</definedName>
    <definedName name="KursSales" hidden="1">#REF!</definedName>
    <definedName name="kutyur" hidden="1">{"'Key fig. Rpt'!$B$5:$K$94"}</definedName>
    <definedName name="KWH_Amount">#REF!</definedName>
    <definedName name="KWH_Price">#REF!</definedName>
    <definedName name="L">#N/A</definedName>
    <definedName name="L_Adjust">#REF!</definedName>
    <definedName name="L_AJE_Tot">#REF!</definedName>
    <definedName name="L_AJE_Tot___2">#REF!</definedName>
    <definedName name="L_CY_Beg">#REF!</definedName>
    <definedName name="L_CY_Beg___2">#REF!</definedName>
    <definedName name="L_CY_End">#REF!</definedName>
    <definedName name="L_CY_End___2">#REF!</definedName>
    <definedName name="L_PY_End">#REF!</definedName>
    <definedName name="L_PY_End___2">#REF!</definedName>
    <definedName name="L_RJE_Tot">#REF!</definedName>
    <definedName name="L_RJE_Tot___2">#REF!</definedName>
    <definedName name="laal" hidden="1">{#N/A,#N/A,FALSE,"94-95";"SAMANDR",#N/A,FALSE,"94-95"}</definedName>
    <definedName name="LAB">#REF!</definedName>
    <definedName name="LABA">#REF!</definedName>
    <definedName name="LABARUGI">#REF!</definedName>
    <definedName name="LABELS">#REF!</definedName>
    <definedName name="lala">#REF!</definedName>
    <definedName name="LAM1A">#REF!</definedName>
    <definedName name="LAM3A1">#REF!</definedName>
    <definedName name="lam3a2">#REF!</definedName>
    <definedName name="lamppembr">#REF!</definedName>
    <definedName name="Lanka_D._Network__PVT__LTD">#REF!</definedName>
    <definedName name="LANKA_ELECTRICITY_CO_PVT_Lt">#REF!</definedName>
    <definedName name="LAPAN" hidden="1">#REF!</definedName>
    <definedName name="lapsewa">#REF!</definedName>
    <definedName name="Last_Row">#N/A</definedName>
    <definedName name="Last_Row___21">#N/A</definedName>
    <definedName name="Last_Row___26">#N/A</definedName>
    <definedName name="Last_Row___6">#N/A</definedName>
    <definedName name="Last_Row___7">#N/A</definedName>
    <definedName name="Last_Row___9">#N/A</definedName>
    <definedName name="Last_Row_39">#N/A</definedName>
    <definedName name="Last_Row_4">#N/A</definedName>
    <definedName name="Last_Row_40">#N/A</definedName>
    <definedName name="Last_Row_48">#N/A</definedName>
    <definedName name="Last_Row_49">#N/A</definedName>
    <definedName name="Last_Row_5">#N/A</definedName>
    <definedName name="Last_Row_50">#N/A</definedName>
    <definedName name="Last_Row_51">#N/A</definedName>
    <definedName name="Last_Row_7">#N/A</definedName>
    <definedName name="lastEmpDeptMark">#REF!</definedName>
    <definedName name="laura">#REF!</definedName>
    <definedName name="lembar">#REF!</definedName>
    <definedName name="lemhit">#REF!</definedName>
    <definedName name="Length">#REF!</definedName>
    <definedName name="LEO">#N/A</definedName>
    <definedName name="LevelCode">#REF!</definedName>
    <definedName name="LevelPair">#REF!</definedName>
    <definedName name="LGメンテ">#REF!</definedName>
    <definedName name="LG治工">#REF!</definedName>
    <definedName name="LH">#REF!</definedName>
    <definedName name="lhbu_tertentu_derivative">#REF!</definedName>
    <definedName name="LHI_DEP">#REF!</definedName>
    <definedName name="LHI_INT">#REF!</definedName>
    <definedName name="lhp">#REF!</definedName>
    <definedName name="LI.CG">#REF!</definedName>
    <definedName name="LI.CG.ActualPerfUnits">#REF!</definedName>
    <definedName name="LI.CG.BaseUnits">#REF!</definedName>
    <definedName name="LI.CG.DiffCur">#REF!</definedName>
    <definedName name="LI.CG.ExemptionUnits">#REF!</definedName>
    <definedName name="LI.CG.LOR">#REF!</definedName>
    <definedName name="LI.CG.PctDiff">#REF!</definedName>
    <definedName name="LI.CG.Rating">#REF!</definedName>
    <definedName name="LI.CG.RdBase">#REF!</definedName>
    <definedName name="LI.CG.RdExempt">#REF!</definedName>
    <definedName name="LI.CG.RdPerf">#REF!</definedName>
    <definedName name="LI.CG.RdTotal">#REF!</definedName>
    <definedName name="LI.CG.SalVar">#REF!</definedName>
    <definedName name="LI.CG.Total">#REF!</definedName>
    <definedName name="LI.OG">#REF!</definedName>
    <definedName name="LI.OG.ActualPerfUnits">#REF!</definedName>
    <definedName name="LI.OG.BaseUnits">#REF!</definedName>
    <definedName name="LI.OG.DiffCur">#REF!</definedName>
    <definedName name="LI.OG.ExemptionUnits">#REF!</definedName>
    <definedName name="LI.OG.LOR">#REF!</definedName>
    <definedName name="LI.OG.PctDiff">#REF!</definedName>
    <definedName name="LI.OG.Rating">#REF!</definedName>
    <definedName name="LI.OG.RdBase">#REF!</definedName>
    <definedName name="LI.OG.RdExempt">#REF!</definedName>
    <definedName name="LI.OG.RdPerf">#REF!</definedName>
    <definedName name="LI.OG.RdTotal">#REF!</definedName>
    <definedName name="LI.OG.SalVar">#REF!</definedName>
    <definedName name="LI.OG.Total">#REF!</definedName>
    <definedName name="LI.OU">#REF!</definedName>
    <definedName name="LI.OU.ActualPerfUnits">#REF!</definedName>
    <definedName name="LI.OU.BaseUnits">#REF!</definedName>
    <definedName name="LI.OU.DiffCur">#REF!</definedName>
    <definedName name="LI.OU.ExemptionUnits">#REF!</definedName>
    <definedName name="LI.OU.LOR">#REF!</definedName>
    <definedName name="LI.OU.PctDiff">#REF!</definedName>
    <definedName name="LI.OU.Rating">#REF!</definedName>
    <definedName name="LI.OU.RdBase">#REF!</definedName>
    <definedName name="LI.OU.RdExempt">#REF!</definedName>
    <definedName name="LI.OU.RdPerf">#REF!</definedName>
    <definedName name="LI.OU.RdTotal">#REF!</definedName>
    <definedName name="LI.OU.SalVar">#REF!</definedName>
    <definedName name="LI.OU.Total">#REF!</definedName>
    <definedName name="LI.SEIC">#REF!</definedName>
    <definedName name="LI.SEIC.ActualPerfUnits">#REF!</definedName>
    <definedName name="LI.SEIC.DiffCur">#REF!</definedName>
    <definedName name="LI.SEIC.PctDiff">#REF!</definedName>
    <definedName name="LI.SEIC.RdBase">#REF!</definedName>
    <definedName name="LI.SEIC.RdExempt">#REF!</definedName>
    <definedName name="LI.SEIC.RdPerf">#REF!</definedName>
    <definedName name="LI.SEIC.RdTotal">#REF!</definedName>
    <definedName name="LI.SEIC.SalVar">#REF!</definedName>
    <definedName name="LI.Transfer">#REF!</definedName>
    <definedName name="LI.Transfer.03">#REF!</definedName>
    <definedName name="LI.Transfer.04">#REF!</definedName>
    <definedName name="LI.Transfer.06">#REF!</definedName>
    <definedName name="LI.Transfer.07">#REF!</definedName>
    <definedName name="LI.Transfer.08">#REF!</definedName>
    <definedName name="LI.Transfer.09">#REF!</definedName>
    <definedName name="liabnop">#REF!</definedName>
    <definedName name="Licencingchr">#REF!</definedName>
    <definedName name="lilik">#REF!</definedName>
    <definedName name="LIMA">#N/A</definedName>
    <definedName name="LIMABELAS">#N/A</definedName>
    <definedName name="LIMABELASA">#N/A</definedName>
    <definedName name="limcount" hidden="1">3</definedName>
    <definedName name="line_No">#REF!</definedName>
    <definedName name="line_No_New">#REF!</definedName>
    <definedName name="Lippo_Bank">#REF!</definedName>
    <definedName name="list">#REF!</definedName>
    <definedName name="List_Curr">#REF!</definedName>
    <definedName name="list_mor_tab">#REF!</definedName>
    <definedName name="list_npl">#REF!</definedName>
    <definedName name="listfacon">#REF!</definedName>
    <definedName name="listnovos1_31">#REF!</definedName>
    <definedName name="listnovos1_eom_carho">#REF!</definedName>
    <definedName name="LISTRIK">#REF!</definedName>
    <definedName name="lk">#REF!</definedName>
    <definedName name="lkajdf">#REF!</definedName>
    <definedName name="ll">#REF!</definedName>
    <definedName name="lld">#REF!</definedName>
    <definedName name="LLL">#REF!</definedName>
    <definedName name="llll" hidden="1">{#N/A,#N/A,FALSE,"Aging Summary";#N/A,#N/A,FALSE,"Ratio Analysis";#N/A,#N/A,FALSE,"Test 120 Day Accts";#N/A,#N/A,FALSE,"Tickmarks"}</definedName>
    <definedName name="Loan_Amount">#REF!</definedName>
    <definedName name="Loan_Amount_39">#REF!</definedName>
    <definedName name="Loan_Amount_40">#REF!</definedName>
    <definedName name="Loan_Amount_48">#REF!</definedName>
    <definedName name="Loan_Amount_49">#REF!</definedName>
    <definedName name="Loan_Amount_50">#REF!</definedName>
    <definedName name="Loan_Amount_51">#REF!</definedName>
    <definedName name="Loan_Amount_7">#REF!</definedName>
    <definedName name="loan_fac">#REF!</definedName>
    <definedName name="Loan_Start">#REF!</definedName>
    <definedName name="Loan_Start_39">#REF!</definedName>
    <definedName name="Loan_Start_40">#REF!</definedName>
    <definedName name="Loan_Start_48">#REF!</definedName>
    <definedName name="Loan_Start_49">#REF!</definedName>
    <definedName name="Loan_Start_50">#REF!</definedName>
    <definedName name="Loan_Start_51">#REF!</definedName>
    <definedName name="Loan_Start_7">#REF!</definedName>
    <definedName name="Loan_Years">#REF!</definedName>
    <definedName name="Loan_Years_39">#REF!</definedName>
    <definedName name="Loan_Years_40">#REF!</definedName>
    <definedName name="Loan_Years_48">#REF!</definedName>
    <definedName name="Loan_Years_49">#REF!</definedName>
    <definedName name="Loan_Years_50">#REF!</definedName>
    <definedName name="Loan_Years_51">#REF!</definedName>
    <definedName name="Loan_Years_7">#REF!</definedName>
    <definedName name="location">#REF!</definedName>
    <definedName name="lok" hidden="1">#REF!</definedName>
    <definedName name="lokal">#REF!</definedName>
    <definedName name="LOLAAA">#REF!</definedName>
    <definedName name="Long_outstanding">#REF!</definedName>
    <definedName name="Long_outstanding_1">#REF!</definedName>
    <definedName name="Long_Term_Debt">#REF!</definedName>
    <definedName name="Long_Term_Loan_BOTM">#REF!</definedName>
    <definedName name="loss">#REF!</definedName>
    <definedName name="lossonfadisposal">#REF!</definedName>
    <definedName name="LR">#REF!</definedName>
    <definedName name="LTL">#REF!</definedName>
    <definedName name="LUAS">#REF!</definedName>
    <definedName name="M">#REF!</definedName>
    <definedName name="MA">#REF!</definedName>
    <definedName name="MACHINOIMPORT">#REF!</definedName>
    <definedName name="Macro1">#REF!</definedName>
    <definedName name="MainData">#REF!</definedName>
    <definedName name="Maithland">#REF!</definedName>
    <definedName name="MAJFA">#REF!</definedName>
    <definedName name="maka">#REF!</definedName>
    <definedName name="MAKRO">#N/A</definedName>
    <definedName name="Manag_Elec">#REF!</definedName>
    <definedName name="Manag_Feed">#REF!</definedName>
    <definedName name="Manag_Fry">#REF!</definedName>
    <definedName name="Manag_Pond">#REF!</definedName>
    <definedName name="Manag_Shrimp_Prod">#REF!</definedName>
    <definedName name="Manag_Shrimp_Sale">#REF!</definedName>
    <definedName name="MANAGER">#REF!</definedName>
    <definedName name="MANAGER_4">#REF!</definedName>
    <definedName name="manhrs">#REF!</definedName>
    <definedName name="MANILA_WATER_COMPANY_INC.">#REF!</definedName>
    <definedName name="manual">#REF!</definedName>
    <definedName name="MAQ_INTERNATIONAL">#REF!</definedName>
    <definedName name="MAR">#REF!</definedName>
    <definedName name="mar00">#REF!</definedName>
    <definedName name="MARANATA">#REF!</definedName>
    <definedName name="MarAv00">#REF!</definedName>
    <definedName name="Marital">#REF!</definedName>
    <definedName name="markYearCreditLine">#REF!</definedName>
    <definedName name="Marshalling">#REF!</definedName>
    <definedName name="Masa21">#REF!</definedName>
    <definedName name="MASKO">#REF!</definedName>
    <definedName name="MASTER">#REF!</definedName>
    <definedName name="MASUK">#REF!</definedName>
    <definedName name="MASUKAN">#REF!</definedName>
    <definedName name="MAT">#REF!</definedName>
    <definedName name="MATERIAL">#REF!</definedName>
    <definedName name="MAY00">#REF!</definedName>
    <definedName name="MayAv00">#REF!</definedName>
    <definedName name="MAYNILAD_WATER_SERVICES_INC">#REF!</definedName>
    <definedName name="MCB">#REF!</definedName>
    <definedName name="MCOST2">#REF!</definedName>
    <definedName name="Mecellc_Industries">#REF!</definedName>
    <definedName name="MED">#REF!</definedName>
    <definedName name="Medical">#REF!</definedName>
    <definedName name="MEETING">#REF!</definedName>
    <definedName name="mei">#REF!</definedName>
    <definedName name="Mei_02">#REF!</definedName>
    <definedName name="memo">#REF!</definedName>
    <definedName name="Memo1">#REF!</definedName>
    <definedName name="MEN">#REF!</definedName>
    <definedName name="merge">#REF!</definedName>
    <definedName name="MESIN">#REF!</definedName>
    <definedName name="Metertek_hy_kang">#REF!</definedName>
    <definedName name="Metertek_Schlumberger_SdnBh">#REF!</definedName>
    <definedName name="method_lsa">#REF!</definedName>
    <definedName name="mETRO1">4743</definedName>
    <definedName name="METROPOLITAN_WATER_WORKS_AN">#REF!</definedName>
    <definedName name="MG">#REF!</definedName>
    <definedName name="MgmtFees">#REF!</definedName>
    <definedName name="MID003_LBU11_Garansi_yang_Diberikan">#REF!</definedName>
    <definedName name="MIKE">#REF!</definedName>
    <definedName name="MILL_OVER">#REF!</definedName>
    <definedName name="MINFA">#REF!</definedName>
    <definedName name="MINOLTA">#REF!</definedName>
    <definedName name="minyak">#REF!</definedName>
    <definedName name="MIST">#REF!</definedName>
    <definedName name="MK" hidden="1">#REF!</definedName>
    <definedName name="Mks">#REF!</definedName>
    <definedName name="mmj">#REF!</definedName>
    <definedName name="MMM">#REF!</definedName>
    <definedName name="MMMM" hidden="1">{#N/A,#N/A,FALSE,"Aging Summary";#N/A,#N/A,FALSE,"Ratio Analysis";#N/A,#N/A,FALSE,"Test 120 Day Accts";#N/A,#N/A,FALSE,"Tickmarks"}</definedName>
    <definedName name="mnb">#REF!</definedName>
    <definedName name="modelType" localSheetId="2">Ongoing</definedName>
    <definedName name="modelType">Ongoing</definedName>
    <definedName name="modelVal">1</definedName>
    <definedName name="Module1.bpll">#N/A</definedName>
    <definedName name="Module1.bpll01tm">#N/A</definedName>
    <definedName name="Module1.bpll01ytd">#N/A</definedName>
    <definedName name="Module1.bpll02ytd">#N/A</definedName>
    <definedName name="Module1.bpll03ytd">#N/A</definedName>
    <definedName name="Mohammed_bin_Massoad___Sons">#REF!</definedName>
    <definedName name="Mon">#REF!</definedName>
    <definedName name="Monetary_Precision">#REF!</definedName>
    <definedName name="money">#REF!</definedName>
    <definedName name="MonthEndDate">#REF!</definedName>
    <definedName name="monthly">#REF!</definedName>
    <definedName name="monthlydept">#REF!</definedName>
    <definedName name="monthlypph25">#REF!</definedName>
    <definedName name="monthlyusd">#REF!</definedName>
    <definedName name="MOON">#REF!</definedName>
    <definedName name="Moscow_branch">#REF!</definedName>
    <definedName name="Moscow_Branch_of_ZAO_Schlum">#REF!</definedName>
    <definedName name="mothlypph25">#REF!</definedName>
    <definedName name="Motor">#REF!</definedName>
    <definedName name="MR._AMDRIAMBOLOLONA">#REF!</definedName>
    <definedName name="Mr._Saidy_M._Hamid">#REF!</definedName>
    <definedName name="MRADJ">#REF!</definedName>
    <definedName name="MRCIG">#REF!</definedName>
    <definedName name="MRCON">#REF!</definedName>
    <definedName name="MRKAR">#REF!</definedName>
    <definedName name="MTH">#REF!</definedName>
    <definedName name="Mth_ESSD">#REF!</definedName>
    <definedName name="MU_FY01_Employee">#REF!</definedName>
    <definedName name="Muhammed_bin_Masaood___Son">#REF!</definedName>
    <definedName name="MULA">#REF!</definedName>
    <definedName name="Mutasi">#REF!</definedName>
    <definedName name="Mutasi_msk">#REF!</definedName>
    <definedName name="MutasiGMP">#REF!</definedName>
    <definedName name="MutasiGMP_9">#REF!</definedName>
    <definedName name="MutasiGMT">#REF!</definedName>
    <definedName name="MutasiGMT_9">#REF!</definedName>
    <definedName name="MV">#REF!</definedName>
    <definedName name="n">#REF!</definedName>
    <definedName name="NAGA">#REF!</definedName>
    <definedName name="NAGASEJPN">#REF!</definedName>
    <definedName name="NAGASESIN">#REF!</definedName>
    <definedName name="nai">#REF!</definedName>
    <definedName name="NAM">#REF!</definedName>
    <definedName name="NAMA">#REF!</definedName>
    <definedName name="NAMA_HTG">#REF!</definedName>
    <definedName name="Nama_Pemotong">#REF!</definedName>
    <definedName name="NAMA_PERKIRAAN">#REF!</definedName>
    <definedName name="NamaAkun">#REF!</definedName>
    <definedName name="namasup">#REF!</definedName>
    <definedName name="NAME">#REF!</definedName>
    <definedName name="NARTO">#REF!</definedName>
    <definedName name="Nasser_Lashko___Son">#REF!</definedName>
    <definedName name="NDSM1">#REF!</definedName>
    <definedName name="neg">#REF!</definedName>
    <definedName name="NEGATIF">#REF!</definedName>
    <definedName name="NEGATIF_13">#REF!</definedName>
    <definedName name="NEGATIF_22">#REF!</definedName>
    <definedName name="Negotiation">#REF!</definedName>
    <definedName name="NERACA">#REF!</definedName>
    <definedName name="neraca06">#REF!</definedName>
    <definedName name="NERACA07">#REF!</definedName>
    <definedName name="NERACA08">#REF!</definedName>
    <definedName name="NERACA09">#REF!</definedName>
    <definedName name="NERACA1">#REF!</definedName>
    <definedName name="neraca10">#REF!</definedName>
    <definedName name="NERACA2">#REF!</definedName>
    <definedName name="NERSAL">#N/A</definedName>
    <definedName name="net">#REF!</definedName>
    <definedName name="Net_Income">#REF!</definedName>
    <definedName name="NETINCOME">#REF!</definedName>
    <definedName name="NETINCOME_4">#REF!</definedName>
    <definedName name="new">#REF!</definedName>
    <definedName name="New_Opportunity">#REF!</definedName>
    <definedName name="Newdepr">#REF!</definedName>
    <definedName name="ngjtyyu">#REF!</definedName>
    <definedName name="ni">#REF!</definedName>
    <definedName name="NICHOLAS">#REF!</definedName>
    <definedName name="NIGHT">#REF!</definedName>
    <definedName name="nilai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_BANK__JAKARTA">#REF!</definedName>
    <definedName name="nm">#N/A</definedName>
    <definedName name="NN">#REF!</definedName>
    <definedName name="nnn">#REF!</definedName>
    <definedName name="nnnn" hidden="1">{#N/A,#N/A,FALSE,"Aging Summary";#N/A,#N/A,FALSE,"Ratio Analysis";#N/A,#N/A,FALSE,"Test 120 Day Accts";#N/A,#N/A,FALSE,"Tickmarks"}</definedName>
    <definedName name="no">#REF!</definedName>
    <definedName name="NO_LPP">#N/A</definedName>
    <definedName name="NoAkt">#REF!</definedName>
    <definedName name="Nomor">#REF!</definedName>
    <definedName name="NONE">#REF!</definedName>
    <definedName name="NONI">#REF!</definedName>
    <definedName name="nop">#REF!</definedName>
    <definedName name="nop_carho">#REF!</definedName>
    <definedName name="NOPIL">#REF!</definedName>
    <definedName name="nopkp">#N/A</definedName>
    <definedName name="noprint">#N/A</definedName>
    <definedName name="NoRefDebet">#REF!</definedName>
    <definedName name="nostro">#REF!</definedName>
    <definedName name="notessss" hidden="1">{#N/A,#N/A,FALSE,"DATA"}</definedName>
    <definedName name="NOTH">#REF!</definedName>
    <definedName name="nothit">#REF!</definedName>
    <definedName name="nov">#REF!</definedName>
    <definedName name="NOVI">#REF!</definedName>
    <definedName name="Now">#REF!</definedName>
    <definedName name="np">#REF!</definedName>
    <definedName name="NPA">#REF!</definedName>
    <definedName name="NPW1_4">#REF!</definedName>
    <definedName name="NPW10_4">#REF!</definedName>
    <definedName name="NPW11_4">#REF!</definedName>
    <definedName name="NPW2_4">#REF!</definedName>
    <definedName name="NPW3_4">#REF!</definedName>
    <definedName name="NPW4_4">#REF!</definedName>
    <definedName name="NPW5_4">#REF!</definedName>
    <definedName name="NPW6_4">#REF!</definedName>
    <definedName name="NPW7_4">#REF!</definedName>
    <definedName name="NPW8_4">#REF!</definedName>
    <definedName name="NPW9_4">#REF!</definedName>
    <definedName name="NPWP">#REF!</definedName>
    <definedName name="NPWP_AsiaVictory">#REF!</definedName>
    <definedName name="NPWP_AtapMerah">#REF!</definedName>
    <definedName name="NPWP_BankParibas">#REF!</definedName>
    <definedName name="NPWP_Bentala">#REF!</definedName>
    <definedName name="NPWP_BI">#REF!</definedName>
    <definedName name="NPWP_BII">#REF!</definedName>
    <definedName name="NPWP_BinaNusa">#REF!</definedName>
    <definedName name="NPWP_BPPN">#REF!</definedName>
    <definedName name="NPWP_Getraco">#REF!</definedName>
    <definedName name="NPWP_Gunaparamita">#REF!</definedName>
    <definedName name="NPWP_IndocargomasPersada">#REF!</definedName>
    <definedName name="NPWP_LautanLuas">#REF!</definedName>
    <definedName name="NPWP_Lembong">#REF!</definedName>
    <definedName name="NPWP_MezzaArsilla">#REF!</definedName>
    <definedName name="NPWP_MitraBahari">#REF!</definedName>
    <definedName name="NPWP_MuliaPersada">#REF!</definedName>
    <definedName name="NPWP_PesonaBahari">#REF!</definedName>
    <definedName name="NPWP_PrimaAdhitama">#REF!</definedName>
    <definedName name="NPWP_Samakarya">#REF!</definedName>
    <definedName name="NPWP_SI">#REF!</definedName>
    <definedName name="NPWP_SunindoIndah">#REF!</definedName>
    <definedName name="NPWP_Suryaraya">#REF!</definedName>
    <definedName name="NPWP_UdayaAnugerah">#REF!</definedName>
    <definedName name="NPWP_UGB">#REF!</definedName>
    <definedName name="npwp001">#REF!</definedName>
    <definedName name="npwp0010">#REF!</definedName>
    <definedName name="npwp0011">#REF!</definedName>
    <definedName name="npwp0012">#REF!</definedName>
    <definedName name="npwp0013">#REF!</definedName>
    <definedName name="npwp0014">#REF!</definedName>
    <definedName name="npwp0015">#REF!</definedName>
    <definedName name="npwp002">#REF!</definedName>
    <definedName name="npwp003">#REF!</definedName>
    <definedName name="npwp004">#REF!</definedName>
    <definedName name="npwp005">#REF!</definedName>
    <definedName name="npwp006">#REF!</definedName>
    <definedName name="npwp007">#REF!</definedName>
    <definedName name="npwp008">#REF!</definedName>
    <definedName name="npwp009">#REF!</definedName>
    <definedName name="npwp01">#REF!</definedName>
    <definedName name="npwp012">#REF!</definedName>
    <definedName name="npwp013">#REF!</definedName>
    <definedName name="npwp014">#REF!</definedName>
    <definedName name="npwp015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">#REF!</definedName>
    <definedName name="npwp10">#REF!</definedName>
    <definedName name="npwp11">#REF!</definedName>
    <definedName name="npwp14">#REF!</definedName>
    <definedName name="npwp15">#REF!</definedName>
    <definedName name="npwp19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RC">#REF!</definedName>
    <definedName name="nrc_papi">#REF!</definedName>
    <definedName name="NS">#REF!</definedName>
    <definedName name="nskey">#REF!</definedName>
    <definedName name="nskey1">#REF!</definedName>
    <definedName name="NTA">#REF!</definedName>
    <definedName name="Num_Pmt_Per_Year">#REF!</definedName>
    <definedName name="Num_Pmt_Per_Year1">#REF!</definedName>
    <definedName name="Num_Pmt_Per_Year1_40">#REF!</definedName>
    <definedName name="Num_Pmt_Per_Year1_48">#REF!</definedName>
    <definedName name="Num_Pmt_Per_Year1_49">#REF!</definedName>
    <definedName name="Num_Pmt_Per_Year1_5">#REF!</definedName>
    <definedName name="Num_Pmt_Per_Year1_50">#REF!</definedName>
    <definedName name="Num_Pmt_Per_Year1_51">#REF!</definedName>
    <definedName name="Num_Pmt_Per_Year1_7">#REF!</definedName>
    <definedName name="Number_of_Payments">MATCH(0.01,End_Bal,-1)+1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4">#N/A</definedName>
    <definedName name="Number_of_Payments_5">#N/A</definedName>
    <definedName name="nur">#REF!</definedName>
    <definedName name="nvi">#REF!</definedName>
    <definedName name="nvoi">#REF!</definedName>
    <definedName name="NvsASD">"V1999-12-31"</definedName>
    <definedName name="NvsAutoDrillOk">"VN"</definedName>
    <definedName name="NvsElapsedTime">0.00131689814588754</definedName>
    <definedName name="NvsEndTime">36537.9861166667</definedName>
    <definedName name="NvsInstLang">"VENG"</definedName>
    <definedName name="NvsInstSpec">"%,FBUSINESS_UNIT,VNSIB,FCURRENCY_CD,VIDR,FDEPTID,TINT_DEPT_ID,NNSIB_LOCAL_GAAP"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"%,X,RZT.ACCOUNT.comma,CZF.."</definedName>
    <definedName name="NvsPanelBusUnit">"V331"</definedName>
    <definedName name="NvsPanelEffdt">"V1993-01-01"</definedName>
    <definedName name="NvsPanelSetid">"VCA"</definedName>
    <definedName name="NvsReqBU">"VNSIB"</definedName>
    <definedName name="NvsReqBUOnly">"VY"</definedName>
    <definedName name="NvsTransLed">"VN"</definedName>
    <definedName name="NvsTreeASD">"V1999-12-31"</definedName>
    <definedName name="NvsValTbl.CURRENCY_CD">"CURRENCY_CD_TBL"</definedName>
    <definedName name="nvt">#REF!</definedName>
    <definedName name="o" hidden="1">{#N/A,#N/A,FALSE,"Aging Summary";#N/A,#N/A,FALSE,"Ratio Analysis";#N/A,#N/A,FALSE,"Test 120 Day Accts";#N/A,#N/A,FALSE,"Tickmarks"}</definedName>
    <definedName name="O_1">#REF!</definedName>
    <definedName name="obj.21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T00">#REF!</definedName>
    <definedName name="OF">#REF!</definedName>
    <definedName name="OFFICE">#REF!</definedName>
    <definedName name="office_rental">#REF!</definedName>
    <definedName name="office_rental_1">#REF!</definedName>
    <definedName name="office_rental_kyoei">#REF!</definedName>
    <definedName name="office_rental_kyoei_1">#REF!</definedName>
    <definedName name="officephone">#REF!</definedName>
    <definedName name="OFFICER">#REF!</definedName>
    <definedName name="OFFICER_4">#REF!</definedName>
    <definedName name="offset">#REF!</definedName>
    <definedName name="oforcus_iii">#REF!</definedName>
    <definedName name="ok">#REF!</definedName>
    <definedName name="OKT">#REF!</definedName>
    <definedName name="Olah2">#REF!</definedName>
    <definedName name="old">#REF!</definedName>
    <definedName name="OLIHEQ">#REF!</definedName>
    <definedName name="OM">#REF!</definedName>
    <definedName name="OOLKSM">#REF!</definedName>
    <definedName name="OP_REVENUE_CUST">#REF!</definedName>
    <definedName name="OP_REVENUE_CUST_1">#REF!</definedName>
    <definedName name="OP_REVENUE_IF">#REF!</definedName>
    <definedName name="OP_REVENUE_IF_1">#REF!</definedName>
    <definedName name="opaid">#REF!</definedName>
    <definedName name="Opex">#REF!</definedName>
    <definedName name="OPEX_Detailed_Insurance">#REF!</definedName>
    <definedName name="OPNAME_BS">#REF!</definedName>
    <definedName name="OPNAME_GS">#REF!</definedName>
    <definedName name="Opportunity_Analysis">#REF!</definedName>
    <definedName name="Oprmiscexp">#REF!</definedName>
    <definedName name="OpUSDbal">#REF!</definedName>
    <definedName name="ORApr">#REF!</definedName>
    <definedName name="ORAug">#REF!</definedName>
    <definedName name="ORDec">#REF!</definedName>
    <definedName name="ORFeb">#REF!</definedName>
    <definedName name="ORJan">#REF!</definedName>
    <definedName name="ORJul">#REF!</definedName>
    <definedName name="ORJun">#REF!</definedName>
    <definedName name="ORMar">#REF!</definedName>
    <definedName name="ORMay">#REF!</definedName>
    <definedName name="ORNov">#REF!</definedName>
    <definedName name="OROct">#REF!</definedName>
    <definedName name="ORSep">#REF!</definedName>
    <definedName name="ORYear">#REF!</definedName>
    <definedName name="OSCAR_MOSER_TECHNISCHE">#REF!</definedName>
    <definedName name="osp">#REF!</definedName>
    <definedName name="ostl_bs">#REF!,#REF!</definedName>
    <definedName name="ostl_bs1205">#REF!,#REF!</definedName>
    <definedName name="other1">#REF!</definedName>
    <definedName name="OTHEREXP">#REF!</definedName>
    <definedName name="OTHEREXP_4">#REF!</definedName>
    <definedName name="otherexpenses">#REF!</definedName>
    <definedName name="OtherIncome">#REF!</definedName>
    <definedName name="OTHERINCOME_4">#REF!</definedName>
    <definedName name="otherincomes">#REF!</definedName>
    <definedName name="others">#REF!</definedName>
    <definedName name="Others_Dsn">#REF!</definedName>
    <definedName name="OTHERS_INCOME">#REF!</definedName>
    <definedName name="othertype">#REF!</definedName>
    <definedName name="out_start">#REF!</definedName>
    <definedName name="outaccep_import">#REF!</definedName>
    <definedName name="outboundincomes">#REF!</definedName>
    <definedName name="OutboundNetIncome">#REF!</definedName>
    <definedName name="outp">#REF!</definedName>
    <definedName name="outp_cur">#REF!</definedName>
    <definedName name="outp_piv_dt">#REF!</definedName>
    <definedName name="outp_tmp">#REF!</definedName>
    <definedName name="outp_total">#REF!</definedName>
    <definedName name="OUTPUT">#REF!</definedName>
    <definedName name="OVER">#REF!</definedName>
    <definedName name="overpaidtax">#REF!</definedName>
    <definedName name="Overtime">#REF!</definedName>
    <definedName name="oyt">#REF!</definedName>
    <definedName name="p">#REF!</definedName>
    <definedName name="P_akhir">#REF!</definedName>
    <definedName name="P_awal">#REF!</definedName>
    <definedName name="P_beli">#REF!</definedName>
    <definedName name="P_L_MAP">#N/A</definedName>
    <definedName name="p2pph">#REF!</definedName>
    <definedName name="Packaging">#REF!</definedName>
    <definedName name="pager">#REF!</definedName>
    <definedName name="pajak" hidden="1">{#N/A,#N/A,FALSE,"Aging Summary";#N/A,#N/A,FALSE,"Ratio Analysis";#N/A,#N/A,FALSE,"Test 120 Day Accts";#N/A,#N/A,FALSE,"Tickmarks"}</definedName>
    <definedName name="pajakkend">#REF!</definedName>
    <definedName name="Papua_New_G._Elestric_Com.">#REF!</definedName>
    <definedName name="Papua_New_Guinea_Electric_C">#REF!</definedName>
    <definedName name="pare">#REF!</definedName>
    <definedName name="parkir">#REF!</definedName>
    <definedName name="PAS">#REF!</definedName>
    <definedName name="PASALSTP">#REF!</definedName>
    <definedName name="pasiva">#REF!</definedName>
    <definedName name="Pay_Date">#REF!</definedName>
    <definedName name="Pay_lsa">#REF!</definedName>
    <definedName name="Pay_Num">#REF!</definedName>
    <definedName name="PAYABLE_3rd_party">#REF!</definedName>
    <definedName name="PAYABLE_3rd_party_1">#REF!</definedName>
    <definedName name="Payment" localSheetId="2">DATE(YEAR([0]!Loan_Start),MONTH([0]!Loan_Start)+Payment_Number,DAY([0]!Loan_Start))</definedName>
    <definedName name="Payment">DATE(YEAR(Loan_Start),MONTH(Loan_Start)+Payment_Number,DAY(Loan_Start))</definedName>
    <definedName name="Payment___26">#N/A</definedName>
    <definedName name="Payment___6">#N/A</definedName>
    <definedName name="Payment___7">#N/A</definedName>
    <definedName name="Payment___9">#N/A</definedName>
    <definedName name="Payment_4">#N/A</definedName>
    <definedName name="Payment_49">#N/A</definedName>
    <definedName name="Payment_5">#N/A</definedName>
    <definedName name="Payment_50">#N/A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4">#N/A</definedName>
    <definedName name="Payment_Date_5">#N/A</definedName>
    <definedName name="paymentdatepph29">#REF!</definedName>
    <definedName name="pbb">#REF!</definedName>
    <definedName name="pc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MK" hidden="1">#REF!</definedName>
    <definedName name="PE">#REF!</definedName>
    <definedName name="Pelunasan">#REF!</definedName>
    <definedName name="pemb.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awaran" hidden="1">#REF!</definedName>
    <definedName name="Pendapatan">#REF!</definedName>
    <definedName name="Pendapatan_Biaya_lain">#REF!</definedName>
    <definedName name="pengembangan">#REF!</definedName>
    <definedName name="penghargaan">#REF!</definedName>
    <definedName name="Penjelasan_Neraca">#REF!</definedName>
    <definedName name="Penjelasan_RL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jualan">#REF!</definedName>
    <definedName name="pensionfund">#REF!</definedName>
    <definedName name="PENYBKLJAN">#REF!</definedName>
    <definedName name="penyusutan">#REF!</definedName>
    <definedName name="PENYUSUTAN_B">#REF!</definedName>
    <definedName name="Penyusutan_Bangunan">#REF!</definedName>
    <definedName name="Penyusutan_Inventaris">#REF!</definedName>
    <definedName name="Penyusutan_Kendaraan">#REF!</definedName>
    <definedName name="perawatanktr">#REF!</definedName>
    <definedName name="Perbandingan_Neraca">#REF!</definedName>
    <definedName name="Percent">#REF!</definedName>
    <definedName name="Perhitungan">#REF!</definedName>
    <definedName name="PERHITUNGAN_PPH">#REF!</definedName>
    <definedName name="Periode">#REF!</definedName>
    <definedName name="Periods">#REF!</definedName>
    <definedName name="PeriodsInYear">#REF!</definedName>
    <definedName name="perizinan">#REF!</definedName>
    <definedName name="perjalanan">#REF!</definedName>
    <definedName name="PERSONELCOST">#REF!</definedName>
    <definedName name="PERSONELCOST_4">#REF!</definedName>
    <definedName name="personnelcost">#REF!</definedName>
    <definedName name="Perusahaan">#REF!</definedName>
    <definedName name="pesangon">#REF!</definedName>
    <definedName name="pettycash">#REF!</definedName>
    <definedName name="pg">#REF!</definedName>
    <definedName name="PH" hidden="1">{"'Key fig. Rpt'!$B$5:$K$94"}</definedName>
    <definedName name="Piet">#REF!</definedName>
    <definedName name="PIST">#REF!</definedName>
    <definedName name="Piutang">#REF!</definedName>
    <definedName name="Piutang_Dagang">#REF!</definedName>
    <definedName name="PK">#REF!</definedName>
    <definedName name="pkp">#REF!</definedName>
    <definedName name="pkp_fis">#N/A</definedName>
    <definedName name="pkp_wp">#N/A</definedName>
    <definedName name="PL">#REF!</definedName>
    <definedName name="PL.CG.ActualPerfUnits">#REF!</definedName>
    <definedName name="PL.CG.BaseUnits">#REF!</definedName>
    <definedName name="PL.CG.Budget">#REF!</definedName>
    <definedName name="PL.CG.Change">#REF!,#REF!</definedName>
    <definedName name="PL.CG.DiffCurrentUnitsExc">#REF!</definedName>
    <definedName name="PL.CG.DiffCurrentUnitsInc">#REF!</definedName>
    <definedName name="PL.CG.ExemptionUnits">#REF!</definedName>
    <definedName name="PL.CG.Holdback">#REF!</definedName>
    <definedName name="PL.CG.LOR">#REF!</definedName>
    <definedName name="PL.CG.LoRUnitsChange">#REF!</definedName>
    <definedName name="PL.CG.OverUnderBudget">#REF!</definedName>
    <definedName name="PL.CG.PerfUnitBudget">#REF!</definedName>
    <definedName name="PL.CG.Rating">#REF!</definedName>
    <definedName name="PL.CG.TotalBaseUnits">#REF!</definedName>
    <definedName name="PL.CG.TotalBudget">#REF!</definedName>
    <definedName name="PL.CG.TotalDiffExcTrans">#REF!</definedName>
    <definedName name="PL.CG.TotalPerfUnits">#REF!</definedName>
    <definedName name="PL.CG.TotalUnits">#REF!</definedName>
    <definedName name="PL.CG.TotalUnitsArr">#REF!</definedName>
    <definedName name="PL.ClientGroup">#REF!</definedName>
    <definedName name="pl.final.">#REF!</definedName>
    <definedName name="PL.Formulas.1">#REF!</definedName>
    <definedName name="PL.Formulas.2">#REF!</definedName>
    <definedName name="PL.Formulas.3">#REF!</definedName>
    <definedName name="PL.OG.ActualPerfUnits">#REF!</definedName>
    <definedName name="PL.OG.BaseUnits">#REF!</definedName>
    <definedName name="PL.OG.Budget">#REF!</definedName>
    <definedName name="PL.OG.Change">#REF!,#REF!</definedName>
    <definedName name="PL.OG.DiffCurrentUnitsExc">#REF!</definedName>
    <definedName name="PL.OG.DiffCurrentUnitsInc">#REF!</definedName>
    <definedName name="PL.OG.ExemptionUnits">#REF!</definedName>
    <definedName name="PL.OG.Holdback">#REF!</definedName>
    <definedName name="PL.OG.LOR">#REF!</definedName>
    <definedName name="PL.OG.LoRUnitsChange">#REF!</definedName>
    <definedName name="PL.OG.OverUnderBudget">#REF!</definedName>
    <definedName name="PL.OG.PerfUnitBudget">#REF!</definedName>
    <definedName name="PL.OG.Rating">#REF!</definedName>
    <definedName name="PL.OG.TotalBaseUnits">#REF!</definedName>
    <definedName name="PL.OG.TotalBudget">#REF!</definedName>
    <definedName name="PL.OG.TotalDiffExcTrans">#REF!</definedName>
    <definedName name="PL.OG.TotalDiffIncTrans">#REF!</definedName>
    <definedName name="PL.OG.TotalPerfUnits">#REF!</definedName>
    <definedName name="PL.OG.TotalUnits">#REF!</definedName>
    <definedName name="PL.OG.TotalUnitsArr">#REF!</definedName>
    <definedName name="PL.OU.ActualPerfUnits">#REF!</definedName>
    <definedName name="PL.OU.BaseUnits">#REF!</definedName>
    <definedName name="PL.OU.Budget">#REF!</definedName>
    <definedName name="PL.OU.Change">#REF!,#REF!</definedName>
    <definedName name="PL.OU.DiffCurrentUnitsExc">#REF!</definedName>
    <definedName name="PL.OU.DiffCurrentUnitsInc">#REF!</definedName>
    <definedName name="PL.OU.ExemptionUnits">#REF!</definedName>
    <definedName name="PL.OU.Holdback">#REF!</definedName>
    <definedName name="PL.OU.LOR">#REF!</definedName>
    <definedName name="PL.OU.LoRUnitsChange">#REF!</definedName>
    <definedName name="PL.OU.OverUnderBudget">#REF!</definedName>
    <definedName name="PL.OU.PerfUnitBudget">#REF!</definedName>
    <definedName name="PL.OU.Rating">#REF!</definedName>
    <definedName name="PL.OU.TotalBaseUnits">#REF!</definedName>
    <definedName name="PL.OU.TotalBudget">#REF!</definedName>
    <definedName name="PL.OU.TotalDiffExcTrans">#REF!</definedName>
    <definedName name="PL.OU.TotalDiffIncTrans">#REF!</definedName>
    <definedName name="PL.OU.TotalPerfUnits">#REF!</definedName>
    <definedName name="PL.OU.TotalUnits">#REF!</definedName>
    <definedName name="PL.OU.TotalUnitsArr">#REF!</definedName>
    <definedName name="PL.PIC.ActualPerfUnits">#REF!</definedName>
    <definedName name="PL.PIC.Budget">#REF!</definedName>
    <definedName name="PL.PIC.Change">#REF!,#REF!</definedName>
    <definedName name="PL.PIC.DiffCurrentUnitsExc">#REF!</definedName>
    <definedName name="PL.PIC.DiffCurrentUnitsInc">#REF!</definedName>
    <definedName name="PL.PIC.Holdback">#REF!</definedName>
    <definedName name="PL.PIC.LoRUnitsChange">#REF!</definedName>
    <definedName name="PL.PIC.OverUnderBudget">#REF!</definedName>
    <definedName name="PL.PIC.PerfUnitBudget">#REF!</definedName>
    <definedName name="PL.PIC.TotalBaseUnits">#REF!</definedName>
    <definedName name="PL.PIC.TotalBudget">#REF!</definedName>
    <definedName name="PL.PIC.TotalDiffExcTrans">#REF!</definedName>
    <definedName name="PL.PIC.TotalDiffIncTrans">#REF!</definedName>
    <definedName name="PL.PIC.TotalPerfUnits">#REF!</definedName>
    <definedName name="PL.PIC.TotalUnits">#REF!</definedName>
    <definedName name="PL.RowUpdated">#REF!</definedName>
    <definedName name="PL.Transfer.10">#REF!</definedName>
    <definedName name="PL.Transfer.11">#REF!</definedName>
    <definedName name="PL.Transfer.12">#REF!</definedName>
    <definedName name="PL.Transfer.13">#REF!</definedName>
    <definedName name="PL.Transfer.2">#REF!</definedName>
    <definedName name="PL.Transfer.3">#REF!</definedName>
    <definedName name="PL.Transfer.4">#REF!</definedName>
    <definedName name="PL.Transfer.5">#REF!</definedName>
    <definedName name="PL.Transfer.6">#REF!</definedName>
    <definedName name="PL.Transfer.8">#REF!</definedName>
    <definedName name="PL.Transfer.9">#REF!</definedName>
    <definedName name="PL_LK">#REF!</definedName>
    <definedName name="PL_Tmd">#REF!</definedName>
    <definedName name="PLB">#N/A</definedName>
    <definedName name="PLKAR">#REF!</definedName>
    <definedName name="plp">#REF!</definedName>
    <definedName name="pls">#REF!</definedName>
    <definedName name="PM">#REF!</definedName>
    <definedName name="PMCode">#REF!</definedName>
    <definedName name="PN">#REF!</definedName>
    <definedName name="PNG_ELECTRICITY_COMISSION">#REF!</definedName>
    <definedName name="pnlaccounts">#REF!</definedName>
    <definedName name="pnlaccounts_4">#REF!</definedName>
    <definedName name="PNN">#REF!</definedName>
    <definedName name="POE">#REF!</definedName>
    <definedName name="POH_TIONG_TRADING_CO.">#REF!</definedName>
    <definedName name="Pond_Price">#REF!</definedName>
    <definedName name="pos">#REF!</definedName>
    <definedName name="POSCODE">#REF!</definedName>
    <definedName name="POSITIF">#REF!</definedName>
    <definedName name="POSITIF_13">#REF!</definedName>
    <definedName name="POSITIF_22">#REF!</definedName>
    <definedName name="position">#REF!</definedName>
    <definedName name="Postage">#REF!</definedName>
    <definedName name="potput">#REF!</definedName>
    <definedName name="Power_Company_3">#REF!</definedName>
    <definedName name="ppe" hidden="1">#REF!</definedName>
    <definedName name="PPH_TERUTANG">#REF!</definedName>
    <definedName name="pph21_fis">#N/A</definedName>
    <definedName name="pph21_wp">#N/A</definedName>
    <definedName name="PPh21total">#REF!</definedName>
    <definedName name="PPh22total">#REF!</definedName>
    <definedName name="pph23_fis">#N/A</definedName>
    <definedName name="pph23_wp">#N/A</definedName>
    <definedName name="PPh23total">#REF!</definedName>
    <definedName name="pph24refund">#REF!</definedName>
    <definedName name="PPh24total">#REF!</definedName>
    <definedName name="PPh25_02">#REF!</definedName>
    <definedName name="pph25_fis">#N/A</definedName>
    <definedName name="pph25_wp">#N/A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26_fis">#N/A</definedName>
    <definedName name="PPh26_wp">#N/A</definedName>
    <definedName name="PPhGvBtotal">#REF!</definedName>
    <definedName name="pphlnbtotal">#REF!</definedName>
    <definedName name="PPHPS22">#REF!</definedName>
    <definedName name="PPHPS23">#REF!</definedName>
    <definedName name="PPHPS24">#REF!</definedName>
    <definedName name="PPHPS25">#REF!</definedName>
    <definedName name="PPN">#REF!</definedName>
    <definedName name="ppn_fis">#N/A</definedName>
    <definedName name="ppn_wp">#N/A</definedName>
    <definedName name="ppnbm">#REF!</definedName>
    <definedName name="PPP" hidden="1">#REF!</definedName>
    <definedName name="PR">#REF!</definedName>
    <definedName name="pre">#REF!</definedName>
    <definedName name="Pre_Approach">#REF!</definedName>
    <definedName name="PREOP">#REF!</definedName>
    <definedName name="PREPAY">#REF!</definedName>
    <definedName name="Prepayment">#REF!</definedName>
    <definedName name="Presentation_of_Proposal">#REF!</definedName>
    <definedName name="President">#REF!</definedName>
    <definedName name="prg">#REF!</definedName>
    <definedName name="Price_Farm_Feed">#REF!</definedName>
    <definedName name="Price_Farm_Fries">#REF!</definedName>
    <definedName name="Price_Prospek_Feed">#REF!</definedName>
    <definedName name="Price_Prospek_Fries">#REF!</definedName>
    <definedName name="Princ">#REF!</definedName>
    <definedName name="Principal_Evaluation">#REF!</definedName>
    <definedName name="Print">#REF!</definedName>
    <definedName name="PRINT_A">#REF!</definedName>
    <definedName name="print_are1205">#REF!</definedName>
    <definedName name="_xlnm.Print_Area" localSheetId="2">Apendix!$A$1:$T$338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_4">#REF!</definedName>
    <definedName name="Print_Area_Reset">OFFSET(Full_Print,0,0,Last_Row)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39">#N/A</definedName>
    <definedName name="Print_Area_Reset_4">#N/A</definedName>
    <definedName name="Print_Area_Reset_40">#N/A</definedName>
    <definedName name="Print_Area_Reset_48">#N/A</definedName>
    <definedName name="Print_Area_Reset_49">#N/A</definedName>
    <definedName name="Print_Area_Reset_5">#N/A</definedName>
    <definedName name="Print_Area_Reset_50">#N/A</definedName>
    <definedName name="Print_Area_Reset_51">#N/A</definedName>
    <definedName name="Print_Area_Reset_7">#N/A</definedName>
    <definedName name="_xlnm.Print_Titles">#REF!</definedName>
    <definedName name="Print_Titles_MI">#REF!,#REF!</definedName>
    <definedName name="PRINT_TITLES_MI_1">#REF!</definedName>
    <definedName name="PRINT1">#REF!</definedName>
    <definedName name="PrintArea">#REF!</definedName>
    <definedName name="prlt">#REF!</definedName>
    <definedName name="PROD">#REF!</definedName>
    <definedName name="Product">#REF!</definedName>
    <definedName name="ProductionSuppl.">#REF!</definedName>
    <definedName name="program">#REF!</definedName>
    <definedName name="Project" hidden="1">#REF!</definedName>
    <definedName name="ProjSumm_isLocked">#REF!</definedName>
    <definedName name="ProjSumm_ProjectCode">#REF!</definedName>
    <definedName name="ProjSumm_ProjectManager">#REF!</definedName>
    <definedName name="ProjSumm_ProjectStartDate">#REF!</definedName>
    <definedName name="ProjSumm_ProjectStartPlanned">#REF!</definedName>
    <definedName name="ProjSumm_TableMonth">#REF!</definedName>
    <definedName name="promosi">#REF!</definedName>
    <definedName name="Property">#REF!</definedName>
    <definedName name="PROVISION">#REF!</definedName>
    <definedName name="PROVISION_4">#REF!</definedName>
    <definedName name="provisions">#REF!</definedName>
    <definedName name="proxy">#REF!</definedName>
    <definedName name="ps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C_Tabel">#REF!</definedName>
    <definedName name="PSC_Tabel2">#REF!</definedName>
    <definedName name="psd">#REF!</definedName>
    <definedName name="pt">#REF!</definedName>
    <definedName name="PTetap">#REF!</definedName>
    <definedName name="PTKP">#REF!</definedName>
    <definedName name="pton">#REF!</definedName>
    <definedName name="pton1205">#REF!</definedName>
    <definedName name="PUBLIC_ELECTRICITY_CORPORAT">#REF!</definedName>
    <definedName name="PVDBO_b">#REF!</definedName>
    <definedName name="PVDBO_e">#REF!</definedName>
    <definedName name="pvdppk">#REF!</definedName>
    <definedName name="PVoPSCO">#REF!</definedName>
    <definedName name="Q">#N/A</definedName>
    <definedName name="q___6">#N/A</definedName>
    <definedName name="q___7">#N/A</definedName>
    <definedName name="q_4">#N/A</definedName>
    <definedName name="q_7">#N/A</definedName>
    <definedName name="Q_Plan">#REF!</definedName>
    <definedName name="qew">#REF!</definedName>
    <definedName name="qqq">#N/A</definedName>
    <definedName name="QRHQRGQHJRGQHJGR">#N/A</definedName>
    <definedName name="qryChanges_History">#REF!</definedName>
    <definedName name="QTY_INS">#REF!</definedName>
    <definedName name="Qualified_Prospect">#REF!</definedName>
    <definedName name="Qunion_Penerimaan_Pabrik">#REF!</definedName>
    <definedName name="Qunion_Penjualan_PerBULAN_JULI">#REF!</definedName>
    <definedName name="QW">#REF!</definedName>
    <definedName name="qwe">#REF!</definedName>
    <definedName name="qweqe">#REF!</definedName>
    <definedName name="qwereqw">#REF!</definedName>
    <definedName name="RAMLI">1</definedName>
    <definedName name="rang_a">#REF!</definedName>
    <definedName name="RATE">#REF!</definedName>
    <definedName name="RATE_4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112">#REF!</definedName>
    <definedName name="Rate0198">#REF!</definedName>
    <definedName name="Rate0199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98">#REF!</definedName>
    <definedName name="Rate0399">#REF!</definedName>
    <definedName name="Rate0498">#REF!</definedName>
    <definedName name="Rate0499">#REF!</definedName>
    <definedName name="Rate0598">#REF!</definedName>
    <definedName name="Rate0599">#REF!</definedName>
    <definedName name="Rate0697">#REF!</definedName>
    <definedName name="Rate0698">#REF!</definedName>
    <definedName name="Rate0699">#REF!</definedName>
    <definedName name="Rate0798">#REF!</definedName>
    <definedName name="Rate0799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97">#REF!</definedName>
    <definedName name="Rate1098">#REF!</definedName>
    <definedName name="Rate1197">#REF!</definedName>
    <definedName name="Rate1198">#REF!</definedName>
    <definedName name="Rate1297">#REF!</definedName>
    <definedName name="Rate1298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w">#REF!</definedName>
    <definedName name="RawData">#REF!</definedName>
    <definedName name="RawHeader">#REF!</definedName>
    <definedName name="RAWMAT">#REF!</definedName>
    <definedName name="RawMaterial">#REF!</definedName>
    <definedName name="RCPN">#REF!</definedName>
    <definedName name="RD_ISO">#REF!</definedName>
    <definedName name="RE">#REF!</definedName>
    <definedName name="RE_BE">#N/A</definedName>
    <definedName name="RE_END">#REF!</definedName>
    <definedName name="RE_KU">#N/A</definedName>
    <definedName name="Re_PNL">#REF!</definedName>
    <definedName name="REAKHIR">#N/A</definedName>
    <definedName name="reaudit">#REF!</definedName>
    <definedName name="rebook">#REF!</definedName>
    <definedName name="REBOOO">#REF!</definedName>
    <definedName name="RECAP">#REF!</definedName>
    <definedName name="RecCurrent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3rd_party_1">#REF!</definedName>
    <definedName name="Receivable_rltd_party">#REF!</definedName>
    <definedName name="Receivable_rltd_party_1">#REF!</definedName>
    <definedName name="ReceivableUSD">#REF!</definedName>
    <definedName name="ReceivableUSD_1">#REF!</definedName>
    <definedName name="_xlnm.Recorder">#REF!</definedName>
    <definedName name="RecPY4_Sel1">#REF!</definedName>
    <definedName name="RecRollFWD">#REF!</definedName>
    <definedName name="red">#REF!</definedName>
    <definedName name="ref">#REF!</definedName>
    <definedName name="REFERENCE">#REF!</definedName>
    <definedName name="REFERENCE_4">#REF!</definedName>
    <definedName name="refund">#REF!</definedName>
    <definedName name="Rek" hidden="1">{#N/A,#N/A,FALSE,"Aging Summary";#N/A,#N/A,FALSE,"Ratio Analysis";#N/A,#N/A,FALSE,"Test 120 Day Accts";#N/A,#N/A,FALSE,"Tickmarks"}</definedName>
    <definedName name="REKAP">#REF!</definedName>
    <definedName name="Rekap_B_Adm_Umum">#REF!</definedName>
    <definedName name="REKONLIPPO">#REF!</definedName>
    <definedName name="REKONSBI">#REF!</definedName>
    <definedName name="Religion">#REF!</definedName>
    <definedName name="Relocation">#REF!</definedName>
    <definedName name="Rent1">#REF!</definedName>
    <definedName name="rentals">#REF!</definedName>
    <definedName name="RENTALS_4">#REF!</definedName>
    <definedName name="Rentexp">#REF!</definedName>
    <definedName name="REP">#REF!</definedName>
    <definedName name="Repaimaintexp">#REF!</definedName>
    <definedName name="Repair">#REF!</definedName>
    <definedName name="Report">#REF!</definedName>
    <definedName name="Res_PSC">#REF!</definedName>
    <definedName name="Residual_difference">#REF!</definedName>
    <definedName name="ret">#REF!</definedName>
    <definedName name="RETAGT">#REF!</definedName>
    <definedName name="RETAGT1">#REF!</definedName>
    <definedName name="Retail">#REF!</definedName>
    <definedName name="RETAPR">#REF!</definedName>
    <definedName name="RETAPR1">#REF!</definedName>
    <definedName name="RETCPN">#REF!</definedName>
    <definedName name="RETDES">#REF!</definedName>
    <definedName name="RETDES1">#REF!</definedName>
    <definedName name="RETE" hidden="1">{#N/A,#N/A,FALSE,"DATA"}</definedName>
    <definedName name="RETFEB">#REF!</definedName>
    <definedName name="RETFEB1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SEP">#REF!</definedName>
    <definedName name="RETSEP1">#REF!</definedName>
    <definedName name="RETSRG">#REF!</definedName>
    <definedName name="RETTGR">#REF!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>#REF!</definedName>
    <definedName name="returjual">#REF!</definedName>
    <definedName name="RETURJUAL10">#REF!</definedName>
    <definedName name="returjual12">#REF!</definedName>
    <definedName name="returkotor">#REF!</definedName>
    <definedName name="returpab">#REF!</definedName>
    <definedName name="returpab11">#REF!</definedName>
    <definedName name="REV">#REF!</definedName>
    <definedName name="Rev03b">#REF!</definedName>
    <definedName name="REVBAD06">#REF!</definedName>
    <definedName name="REVENUE">#REF!</definedName>
    <definedName name="Reversing_Errors_PY">#REF!</definedName>
    <definedName name="Reversing_Judgments_PY">#REF!</definedName>
    <definedName name="REVGOODSTOK06">#REF!</definedName>
    <definedName name="REVHPP">#REF!</definedName>
    <definedName name="revise">#REF!</definedName>
    <definedName name="revisi2">#REF!</definedName>
    <definedName name="REVISI3">#REF!</definedName>
    <definedName name="REWAQ_CO_LTD">#REF!</definedName>
    <definedName name="rf" hidden="1">{#N/A,#N/A,FALSE,"94-95";"SAMANDR",#N/A,FALSE,"94-95"}</definedName>
    <definedName name="RINALDI">#REF!</definedName>
    <definedName name="RINCIAN_LAPORAN_KEUANGAN_SELURUH_2005">#REF!</definedName>
    <definedName name="RITU">#REF!</definedName>
    <definedName name="RL">#REF!</definedName>
    <definedName name="rl_komperatif">#REF!</definedName>
    <definedName name="RL_PAPI">#REF!</definedName>
    <definedName name="rmcAccount">712500</definedName>
    <definedName name="rmcFrequency">"MON"</definedName>
    <definedName name="rmcName">"MFG$"</definedName>
    <definedName name="RMCOptions">"*000000000000000"</definedName>
    <definedName name="RN_TotalPM">#REF!</definedName>
    <definedName name="Role_d">#REF!</definedName>
    <definedName name="Role_Descriptors">#REF!</definedName>
    <definedName name="Roll_Out">#REF!</definedName>
    <definedName name="Round">#REF!</definedName>
    <definedName name="ROUT">#REF!</definedName>
    <definedName name="royalties">#REF!</definedName>
    <definedName name="ROYALTIES_4">#REF!</definedName>
    <definedName name="RP">#REF!</definedName>
    <definedName name="RRApr">#REF!</definedName>
    <definedName name="RRAug">#REF!</definedName>
    <definedName name="RRDec">#REF!</definedName>
    <definedName name="RRFeb">#REF!</definedName>
    <definedName name="RRJan">#REF!</definedName>
    <definedName name="RRJul">#REF!</definedName>
    <definedName name="RRJun">#REF!</definedName>
    <definedName name="RRMar">#REF!</definedName>
    <definedName name="RRMay">#REF!</definedName>
    <definedName name="RRNov">#REF!</definedName>
    <definedName name="RROct">#REF!</definedName>
    <definedName name="rrr" hidden="1">{#N/A,#N/A,FALSE,"Aging Summary";#N/A,#N/A,FALSE,"Ratio Analysis";#N/A,#N/A,FALSE,"Test 120 Day Accts";#N/A,#N/A,FALSE,"Tickmarks"}</definedName>
    <definedName name="rrrrrrrrrrrrr">#REF!</definedName>
    <definedName name="RRSep">#REF!</definedName>
    <definedName name="rrwrwerw" hidden="1">{#N/A,#N/A,FALSE,"Aging Summary";#N/A,#N/A,FALSE,"Ratio Analysis";#N/A,#N/A,FALSE,"Test 120 Day Accts";#N/A,#N/A,FALSE,"Tickmarks"}</definedName>
    <definedName name="RRYear">#REF!</definedName>
    <definedName name="RSRG">#REF!</definedName>
    <definedName name="rtkantor">#REF!</definedName>
    <definedName name="rturrjkk">#REF!</definedName>
    <definedName name="RUDI">#REF!</definedName>
    <definedName name="RUGI_LABA">#REF!</definedName>
    <definedName name="RUGILABA">#N/A</definedName>
    <definedName name="RUGILABA1">#REF!</definedName>
    <definedName name="RUGILABA2">#REF!</definedName>
    <definedName name="rumus03">#REF!</definedName>
    <definedName name="rup" hidden="1">{#N/A,#N/A,FALSE,"Aging Summary";#N/A,#N/A,FALSE,"Ratio Analysis";#N/A,#N/A,FALSE,"Test 120 Day Accts";#N/A,#N/A,FALSE,"Tickmarks"}</definedName>
    <definedName name="rupiah">#REF!</definedName>
    <definedName name="rurturur">#REF!</definedName>
    <definedName name="s">#REF!</definedName>
    <definedName name="S.A_BAGERSH">#REF!</definedName>
    <definedName name="s\dfs\dg" hidden="1">#REF!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JE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CompNum">#REF!</definedName>
    <definedName name="S_CompNum___2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#REF!</definedName>
    <definedName name="S_Diff_Amt___2">#REF!</definedName>
    <definedName name="S_Diff_Pct">#REF!</definedName>
    <definedName name="S_Diff_Pct___0">#REF!</definedName>
    <definedName name="S_Diff_Pct___2">#REF!</definedName>
    <definedName name="S_GrpNum">#REF!</definedName>
    <definedName name="S_GrpNum___2">#REF!</definedName>
    <definedName name="S_Headings">#REF!</definedName>
    <definedName name="S_Headings___2">#REF!</definedName>
    <definedName name="S_JAYASEKARA">#REF!</definedName>
    <definedName name="S_KeyValue">#REF!</definedName>
    <definedName name="S_KeyValue___2">#REF!</definedName>
    <definedName name="S_O_I">#REF!</definedName>
    <definedName name="S_PY_End">#REF!</definedName>
    <definedName name="S_PY_End___2">#REF!</definedName>
    <definedName name="S_PY_End_Data">#REF!</definedName>
    <definedName name="S_PY_End_Data___2">#REF!</definedName>
    <definedName name="S_PY_End_GT">#REF!</definedName>
    <definedName name="S_PY_End_GT___2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owNum">#REF!</definedName>
    <definedName name="S_RowNum___2">#REF!</definedName>
    <definedName name="SA">#REF!</definedName>
    <definedName name="saa" hidden="1">{#N/A,#N/A,FALSE,"DATA"}</definedName>
    <definedName name="SAd" hidden="1">{#N/A,#N/A,FALSE,"94-95";"SAMANDR",#N/A,FALSE,"94-95"}</definedName>
    <definedName name="sadf">#REF!</definedName>
    <definedName name="sadfasdfgv">#REF!</definedName>
    <definedName name="safaws" hidden="1">{#N/A,#N/A,FALSE,"94-95";"SAMANDR",#N/A,FALSE,"94-95"}</definedName>
    <definedName name="Sal_curr">#REF!</definedName>
    <definedName name="sal_rate">#REF!</definedName>
    <definedName name="SALAD1">#REF!</definedName>
    <definedName name="Salaries">#REF!</definedName>
    <definedName name="SalariesWagesD">#REF!</definedName>
    <definedName name="SalariesWagesTotalD">#REF!</definedName>
    <definedName name="Salary">#REF!</definedName>
    <definedName name="SalaryProjD">#REF!</definedName>
    <definedName name="SALDO">#N/A</definedName>
    <definedName name="SALDO_GS">#REF!</definedName>
    <definedName name="SALDO_GS_CPN">#REF!</definedName>
    <definedName name="SALDO_SALES">#REF!</definedName>
    <definedName name="SALES">#REF!</definedName>
    <definedName name="SALESJAN">#REF!</definedName>
    <definedName name="SALESJAN1">#REF!</definedName>
    <definedName name="SALESMRT">#REF!</definedName>
    <definedName name="SALESMRT1">#REF!</definedName>
    <definedName name="salOtherInc">#REF!</definedName>
    <definedName name="SALPU1">#REF!</definedName>
    <definedName name="SALPU1_4">#REF!</definedName>
    <definedName name="SALREP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s">#REF!</definedName>
    <definedName name="SASA">#REF!</definedName>
    <definedName name="SATU">#N/A</definedName>
    <definedName name="SAVE">#N/A</definedName>
    <definedName name="saya" hidden="1">#REF!</definedName>
    <definedName name="SBS">#REF!</definedName>
    <definedName name="SBY_21">#N/A</definedName>
    <definedName name="SC">#REF!</definedName>
    <definedName name="SCAP00">#REF!</definedName>
    <definedName name="SCH_SYSTEMES_S.A_POS_DIV">#REF!</definedName>
    <definedName name="Sch_Technologies__Asia__Ltd">#REF!</definedName>
    <definedName name="Sch_Technologies__Asia__Ltd_">#REF!</definedName>
    <definedName name="Sched_Pay">#REF!</definedName>
    <definedName name="Schedule" hidden="1">{#N/A,#N/A,FALSE,"94-95";"SAMANDR",#N/A,FALSE,"94-95"}</definedName>
    <definedName name="Scheduled_Extra_Payments">#REF!</definedName>
    <definedName name="Scheduled_Interest_Rate">#REF!</definedName>
    <definedName name="Scheduled_Monthly_Payment">#REF!</definedName>
    <definedName name="Schlumberger_Columbia">#REF!</definedName>
    <definedName name="Schlumberger_Ind._Columbia">#REF!</definedName>
    <definedName name="Schlumberger_Indust._Int.S.">#REF!</definedName>
    <definedName name="Schlumberger_Indust._Poland">#REF!</definedName>
    <definedName name="Schlumberger_Indust._Polska">#REF!</definedName>
    <definedName name="Schlumberger_Indust.Thailan">#REF!</definedName>
    <definedName name="Schlumberger_Indust.Thailand">#REF!</definedName>
    <definedName name="SCHLUMBERGER_INDUSTRIAS_LTD">#REF!</definedName>
    <definedName name="Schlumberger_Industries">#REF!</definedName>
    <definedName name="Schlumberger_Industries_Inc">#REF!</definedName>
    <definedName name="Schlumberger_Industries_S.A">#REF!</definedName>
    <definedName name="SCHLUMBERGER_INDUSTRIES_SA">#REF!</definedName>
    <definedName name="SCHLUMBERGER_MEAS_SYST_PHIL">#REF!</definedName>
    <definedName name="Schlumberger_Measurement">#REF!</definedName>
    <definedName name="SCHLUMBERGER_RMS">#REF!</definedName>
    <definedName name="Schlumberger_RMS_">#REF!</definedName>
    <definedName name="Schlumberger_RMS_AFM">#REF!</definedName>
    <definedName name="Schlumberger_RMS_Australia">#REF!</definedName>
    <definedName name="SCHLUMBERGER_RMS_CHINA">#REF!</definedName>
    <definedName name="SCS">#REF!</definedName>
    <definedName name="sd">#REF!</definedName>
    <definedName name="sdaudit">#REF!</definedName>
    <definedName name="sdbook">#REF!</definedName>
    <definedName name="SDF">#REF!</definedName>
    <definedName name="sdfafa">#REF!</definedName>
    <definedName name="sdfdsf" hidden="1">#REF!</definedName>
    <definedName name="sdfff">#REF!</definedName>
    <definedName name="sdfg">#REF!</definedName>
    <definedName name="sdfsdfdfs" hidden="1">{"'Key fig. Rpt'!$B$5:$K$94"}</definedName>
    <definedName name="SDFSDFSF" hidden="1">{"'Key fig. Rpt'!$B$5:$K$94"}</definedName>
    <definedName name="SDFSFs" hidden="1">0</definedName>
    <definedName name="SDGFSDFSD" hidden="1">{"'Key fig. Rpt'!$B$5:$K$94"}</definedName>
    <definedName name="sdp">#REF!</definedName>
    <definedName name="se">#REF!</definedName>
    <definedName name="SEBELAS">#N/A</definedName>
    <definedName name="SEBELASA">#N/A</definedName>
    <definedName name="SELECTION">#REF!</definedName>
    <definedName name="SELECTOR">#REF!</definedName>
    <definedName name="SelfPaidTax">#REF!</definedName>
    <definedName name="selling_dsn">#REF!</definedName>
    <definedName name="SEMBILAN">#N/A</definedName>
    <definedName name="SEMBILANBELAS">#N/A</definedName>
    <definedName name="SEMBILANBELASA">#N/A</definedName>
    <definedName name="semua">#REF!</definedName>
    <definedName name="sen_fung">#REF!</definedName>
    <definedName name="sencount" hidden="1">3</definedName>
    <definedName name="SEP">#REF!</definedName>
    <definedName name="SepAv00">#REF!</definedName>
    <definedName name="SEPULUH">#N/A</definedName>
    <definedName name="SEPULUHA">#N/A</definedName>
    <definedName name="SERGI">#REF!</definedName>
    <definedName name="service">#REF!</definedName>
    <definedName name="SEWA">#REF!</definedName>
    <definedName name="sewakantor">#REF!</definedName>
    <definedName name="SEWAPR">#REF!</definedName>
    <definedName name="SFR">#REF!</definedName>
    <definedName name="sfsfddffssdfsd">#REF!</definedName>
    <definedName name="sfsfffsddfsdf">#REF!</definedName>
    <definedName name="sfsfsasf">#REF!</definedName>
    <definedName name="sfsfsdasdf">#REF!</definedName>
    <definedName name="sfsfsfs">#REF!</definedName>
    <definedName name="sfsfsfsfs">#REF!</definedName>
    <definedName name="sfssfffsd">#REF!</definedName>
    <definedName name="SGD">#REF!</definedName>
    <definedName name="SGSFSDFS" hidden="1">{"'Key fig. Rpt'!$B$5:$K$94"}</definedName>
    <definedName name="sheet">#REF!</definedName>
    <definedName name="SHEET1">#REF!</definedName>
    <definedName name="ship2">#REF!</definedName>
    <definedName name="Shiping">#REF!</definedName>
    <definedName name="Shiping1">#REF!</definedName>
    <definedName name="SHIT" hidden="1">{#N/A,#N/A,FALSE,"Aging Summary";#N/A,#N/A,FALSE,"Ratio Analysis";#N/A,#N/A,FALSE,"Test 120 Day Accts";#N/A,#N/A,FALSE,"Tickmarks"}</definedName>
    <definedName name="Short_Term_Loan_MBB_I">#REF!</definedName>
    <definedName name="Short_Term_Loan_MBB_II">#REF!</definedName>
    <definedName name="SI_FELIXSTOWE">#REF!</definedName>
    <definedName name="signatory">#REF!</definedName>
    <definedName name="signdate">#REF!</definedName>
    <definedName name="Signed_Contract">#REF!</definedName>
    <definedName name="Signed_MoU">#REF!</definedName>
    <definedName name="signername">#REF!</definedName>
    <definedName name="signname">#REF!</definedName>
    <definedName name="signplace">#REF!</definedName>
    <definedName name="SILANG_CR">#N/A</definedName>
    <definedName name="SILANG_DR">#N/A</definedName>
    <definedName name="SIMELEC">#REF!</definedName>
    <definedName name="SIMPAN">#REF!</definedName>
    <definedName name="simulation">#REF!</definedName>
    <definedName name="sixThruTenYears">0</definedName>
    <definedName name="sj">#REF!</definedName>
    <definedName name="sk">#REF!</definedName>
    <definedName name="skg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p">#REF!</definedName>
    <definedName name="SLB__Sistemas_de_Medicao_Ld">#REF!</definedName>
    <definedName name="SLB_FRANCE_Massy">#REF!</definedName>
    <definedName name="Slb_Ind_Natalie_Junk">#REF!</definedName>
    <definedName name="SLB_India">#REF!</definedName>
    <definedName name="Slb_industries_san_martin">#REF!</definedName>
    <definedName name="SLB_M___S_Pty.Ltd">#REF!</definedName>
    <definedName name="SLB_Taiwan_Walsin">#REF!</definedName>
    <definedName name="SLB_Venezuela">#REF!</definedName>
    <definedName name="slm">#REF!</definedName>
    <definedName name="SLS_SRG">#REF!</definedName>
    <definedName name="SM.Transfer">#REF!</definedName>
    <definedName name="SM.Transfer.01">#REF!</definedName>
    <definedName name="SM.Transfer.02">#REF!</definedName>
    <definedName name="SM.Transfer.03">#REF!</definedName>
    <definedName name="SM.Transfer.04">#REF!</definedName>
    <definedName name="SM.Transfer.05">#REF!</definedName>
    <definedName name="SM.Transfer.06">#REF!</definedName>
    <definedName name="SM.Transfer.07">#REF!</definedName>
    <definedName name="SM.Transfer.08">#REF!</definedName>
    <definedName name="SM.Transfer.09">#REF!</definedName>
    <definedName name="SM.Transfer.10">#REF!</definedName>
    <definedName name="SM.Transfer.11">#REF!</definedName>
    <definedName name="SM.Transfer.12">#REF!</definedName>
    <definedName name="SM.Transfer.13">#REF!</definedName>
    <definedName name="SM.Transfer.14">#REF!</definedName>
    <definedName name="SM.Transfer.15">#REF!</definedName>
    <definedName name="SM.Transfer.16">#REF!</definedName>
    <definedName name="SM.Transfer.17">#REF!</definedName>
    <definedName name="SM.Transfer.18">#REF!</definedName>
    <definedName name="SM.Transfer.19">#REF!</definedName>
    <definedName name="SM.Transfer.20">#REF!</definedName>
    <definedName name="SM.Transfer.21">#REF!</definedName>
    <definedName name="SM.Transfer.22">#REF!</definedName>
    <definedName name="SM.Transfer.23">#REF!</definedName>
    <definedName name="SM.Transfer.24">#REF!</definedName>
    <definedName name="SM.Transfer.25">#REF!</definedName>
    <definedName name="SM.Transfer.26">#REF!</definedName>
    <definedName name="SMSIL___LABUAN_T_T_Asia">#REF!</definedName>
    <definedName name="SMSIL_LABUAN_T_T_Asia">#REF!</definedName>
    <definedName name="SMSPL_Singapore">#REF!</definedName>
    <definedName name="smtr5">#REF!</definedName>
    <definedName name="so">#REF!</definedName>
    <definedName name="soet1" hidden="1">#REF!</definedName>
    <definedName name="SOET2" hidden="1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YIND">#REF!</definedName>
    <definedName name="Sort_Total">#REF!</definedName>
    <definedName name="SOSHIN">#REF!</definedName>
    <definedName name="SOURCE">#REF!</definedName>
    <definedName name="SP">#REF!</definedName>
    <definedName name="SPEC">#REF!</definedName>
    <definedName name="Specific_Proposal">#REF!</definedName>
    <definedName name="specno">#REF!</definedName>
    <definedName name="Speed_Sandwich">#REF!</definedName>
    <definedName name="Speed_SL">#REF!</definedName>
    <definedName name="Speed_SS">#REF!</definedName>
    <definedName name="spek">#REF!</definedName>
    <definedName name="spek1">#REF!</definedName>
    <definedName name="Spf_DocStatus" localSheetId="2">InputModel</definedName>
    <definedName name="Spf_DocStatus">InputModel</definedName>
    <definedName name="sphp" hidden="1">#REF!</definedName>
    <definedName name="SPm21_2">#REF!</definedName>
    <definedName name="SPO42T">#REF!</definedName>
    <definedName name="spot">#REF!</definedName>
    <definedName name="spotbeli_jual">#REF!</definedName>
    <definedName name="spp">#REF!</definedName>
    <definedName name="SPT_Masa_PP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R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gsfgsgsg">#REF!</definedName>
    <definedName name="ssnew">#REF!</definedName>
    <definedName name="ssp" hidden="1">#REF!</definedName>
    <definedName name="SSP_Final">#REF!</definedName>
    <definedName name="ssp21_fis">#N/A</definedName>
    <definedName name="SSP21_tjo">#REF!</definedName>
    <definedName name="SSP21_tsk">"Text Box 20"</definedName>
    <definedName name="ssp21_wp">#N/A</definedName>
    <definedName name="ssp23_fis">#N/A</definedName>
    <definedName name="SSP23_tsk">#REF!</definedName>
    <definedName name="ssp23_wp">#N/A</definedName>
    <definedName name="ssp25_fis">#N/A</definedName>
    <definedName name="SSP25_tjo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9">#REF!</definedName>
    <definedName name="sspppn_fis">#N/A</definedName>
    <definedName name="SSPppn_tjo">#REF!</definedName>
    <definedName name="SSPppn_tsk">#REF!</definedName>
    <definedName name="sspppn_wp">#N/A</definedName>
    <definedName name="SSS" hidden="1">#REF!</definedName>
    <definedName name="SSSSS">#REF!</definedName>
    <definedName name="SSSSSSS" hidden="1">{#N/A,#N/A,FALSE,"Aging Summary";#N/A,#N/A,FALSE,"Ratio Analysis";#N/A,#N/A,FALSE,"Test 120 Day Accts";#N/A,#N/A,FALSE,"Tickmarks"}</definedName>
    <definedName name="STA">#N/A</definedName>
    <definedName name="STAFFWELFARE">#REF!</definedName>
    <definedName name="stan">#REF!</definedName>
    <definedName name="STANDARD_ROW">#REF!</definedName>
    <definedName name="start">#REF!</definedName>
    <definedName name="startyear">#REF!</definedName>
    <definedName name="StatementOfExpenditure">#REF!</definedName>
    <definedName name="Stationaries">#REF!</definedName>
    <definedName name="Status">#REF!</definedName>
    <definedName name="Status_kary">#REF!</definedName>
    <definedName name="Status_kary_13">#REF!</definedName>
    <definedName name="Status_kary_22">#REF!</definedName>
    <definedName name="STFTI">#REF!</definedName>
    <definedName name="STFTI_4">#REF!</definedName>
    <definedName name="STG">#REF!</definedName>
    <definedName name="STK_AWAL">#REF!</definedName>
    <definedName name="STL">#REF!</definedName>
    <definedName name="stobad11">#REF!</definedName>
    <definedName name="STOCK">#REF!</definedName>
    <definedName name="STOCK00">#REF!</definedName>
    <definedName name="StockDOC">#REF!</definedName>
    <definedName name="stogood11">#REF!</definedName>
    <definedName name="stok11">#REF!</definedName>
    <definedName name="stok1103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>#REF!</definedName>
    <definedName name="STOKPKL10">#REF!</definedName>
    <definedName name="stokpklbad11">#REF!</definedName>
    <definedName name="stoksmg10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SMG10">#REF!</definedName>
    <definedName name="stp_ppn">#N/A</definedName>
    <definedName name="Sub_Class2">#REF!</definedName>
    <definedName name="Subclass">#REF!</definedName>
    <definedName name="subs">#REF!</definedName>
    <definedName name="subtotal1">#REF!</definedName>
    <definedName name="subtotal2">#REF!</definedName>
    <definedName name="SUKUBUNGA">#REF!</definedName>
    <definedName name="sum">#REF!</definedName>
    <definedName name="SumAct3">#REF!</definedName>
    <definedName name="sumary">#REF!</definedName>
    <definedName name="SUMBERNAMA">#REF!</definedName>
    <definedName name="SUMBERNPWP">#REF!</definedName>
    <definedName name="SUMBERTAHUN">#REF!</definedName>
    <definedName name="SUMM.Formula.01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mClientGroup">#REF!</definedName>
    <definedName name="supervisor">#N/A</definedName>
    <definedName name="SUPPLIER">#REF!</definedName>
    <definedName name="supplies">#REF!</definedName>
    <definedName name="Suppliesother">#REF!</definedName>
    <definedName name="SUSAN">#REF!</definedName>
    <definedName name="SUSUT">#REF!</definedName>
    <definedName name="SV費">#REF!</definedName>
    <definedName name="Syn_USD_Rate">#REF!</definedName>
    <definedName name="SYNTEX_TEXTILLE_PTE_LTD">#REF!</definedName>
    <definedName name="sz">#REF!</definedName>
    <definedName name="T">#REF!</definedName>
    <definedName name="t_40">#REF!</definedName>
    <definedName name="t_48">#REF!</definedName>
    <definedName name="t_49">#REF!</definedName>
    <definedName name="t_50">#REF!</definedName>
    <definedName name="t_51">#REF!</definedName>
    <definedName name="t_7">#REF!</definedName>
    <definedName name="T_ACCOUNT">#REF!</definedName>
    <definedName name="t_b">#REF!</definedName>
    <definedName name="T_BARANG_KD_NPN">#REF!</definedName>
    <definedName name="t_e">#REF!</definedName>
    <definedName name="t_end">#REF!</definedName>
    <definedName name="t_entry">#REF!</definedName>
    <definedName name="T_Master_Kegiatan_Promosi">#REF!</definedName>
    <definedName name="TAB">#REF!</definedName>
    <definedName name="tabcom">#REF!</definedName>
    <definedName name="tabcom2">#REF!</definedName>
    <definedName name="tabel">#REF!</definedName>
    <definedName name="TABELCUST">#REF!</definedName>
    <definedName name="Table">#REF!</definedName>
    <definedName name="Table_Eff_Line">#REF!</definedName>
    <definedName name="tableacct">#REF!</definedName>
    <definedName name="TableName">"Dummy"</definedName>
    <definedName name="TAGIHAN_LAINNYA">#REF!</definedName>
    <definedName name="tahun">#REF!</definedName>
    <definedName name="Talbe">#REF!</definedName>
    <definedName name="Tanggal">#REF!</definedName>
    <definedName name="TARGI">#REF!</definedName>
    <definedName name="TAX">#REF!</definedName>
    <definedName name="Tax_Rate">#REF!</definedName>
    <definedName name="taxableincome">#REF!</definedName>
    <definedName name="taxdue">#REF!</definedName>
    <definedName name="TaxDueMinusTaxCredits">#REF!</definedName>
    <definedName name="taxdueorpaidabroad">#REF!</definedName>
    <definedName name="Taxedues">#REF!</definedName>
    <definedName name="taxlosstotal">#REF!</definedName>
    <definedName name="taxrate">#REF!</definedName>
    <definedName name="TaxTV">10%</definedName>
    <definedName name="TaxXL">5%</definedName>
    <definedName name="TB">#REF!</definedName>
    <definedName name="TB_AU1">#REF!</definedName>
    <definedName name="TB_BA1">#REF!</definedName>
    <definedName name="TB_BGT">#REF!</definedName>
    <definedName name="tb_konsol">#REF!</definedName>
    <definedName name="tb_mort_pil">#REF!</definedName>
    <definedName name="TB_NTMS_31.03.03">#REF!</definedName>
    <definedName name="TB_Oct06">#REF!</definedName>
    <definedName name="TBDEC03">#REF!</definedName>
    <definedName name="TBKFI">#REF!</definedName>
    <definedName name="Tbl_AP_Roster">#REF!</definedName>
    <definedName name="tbl_HO_PL___Expenses">#REF!</definedName>
    <definedName name="tblkm150">#REF!</definedName>
    <definedName name="TBparent" hidden="1">#REF!</definedName>
    <definedName name="TC">#REF!</definedName>
    <definedName name="TCHGメンテ">#REF!</definedName>
    <definedName name="TCHG治工">#REF!</definedName>
    <definedName name="TCHSメンテ">#REF!</definedName>
    <definedName name="TCHS治工">#REF!</definedName>
    <definedName name="TCSHGメンテ">#REF!</definedName>
    <definedName name="TCSHG治工">#REF!</definedName>
    <definedName name="TECH_PERF">#REF!</definedName>
    <definedName name="Telephone">#REF!</definedName>
    <definedName name="telp">#REF!</definedName>
    <definedName name="TELPHONE">#REF!</definedName>
    <definedName name="termination_categ">#REF!</definedName>
    <definedName name="tes">#REF!</definedName>
    <definedName name="test">#REF!</definedName>
    <definedName name="TEST0">#REF!</definedName>
    <definedName name="test0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>#REF!</definedName>
    <definedName name="testing2">#REF!</definedName>
    <definedName name="testing3">#REF!</definedName>
    <definedName name="testing56677">#REF!</definedName>
    <definedName name="TESTKEYS">#REF!</definedName>
    <definedName name="testoing45">#REF!</definedName>
    <definedName name="TESTVKEY">#REF!</definedName>
    <definedName name="tetsttt">#REF!</definedName>
    <definedName name="TextRefCopy1">#REF!</definedName>
    <definedName name="TextRefCopy1_1">#REF!</definedName>
    <definedName name="TextRefCopy10">#REF!</definedName>
    <definedName name="TextRefCopy100">#REF!</definedName>
    <definedName name="TextRefCopy101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5_1">#REF!</definedName>
    <definedName name="TextRefCopy19">#REF!</definedName>
    <definedName name="TextRefCopy2">#REF!</definedName>
    <definedName name="TextRefCopy21">#REF!</definedName>
    <definedName name="TextRefCopy22">#REF!</definedName>
    <definedName name="TextRefCopy23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9">#REF!</definedName>
    <definedName name="TextRefCopy92">#REF!</definedName>
    <definedName name="TextRefCopy93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13</definedName>
    <definedName name="TF">#REF!</definedName>
    <definedName name="tg" hidden="1">{#N/A,#N/A,FALSE,"DATA"}</definedName>
    <definedName name="TGL_KBM">#REF!</definedName>
    <definedName name="TGL_LPP">#N/A</definedName>
    <definedName name="tglpkp">#N/A</definedName>
    <definedName name="tglprint">#N/A</definedName>
    <definedName name="tglspt21">#N/A</definedName>
    <definedName name="tglspt25">#N/A</definedName>
    <definedName name="Th.">#REF!</definedName>
    <definedName name="Th..">#REF!</definedName>
    <definedName name="TH_SYED_LTD">#REF!</definedName>
    <definedName name="THE_MACAU_WATER_SUPPLY_CO.L">#REF!</definedName>
    <definedName name="The_Machinery_Imp._Exp._Com">#REF!</definedName>
    <definedName name="Thn">#REF!</definedName>
    <definedName name="tho">#REF!</definedName>
    <definedName name="Thomas" hidden="1">{#N/A,#N/A,FALSE,"94-95";"SAMANDR",#N/A,FALSE,"94-95"}</definedName>
    <definedName name="thr">#REF!</definedName>
    <definedName name="Threshold">#REF!</definedName>
    <definedName name="TIGA">#N/A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KA" hidden="1">#REF!</definedName>
    <definedName name="Time_end">#REF!</definedName>
    <definedName name="Time_start">#REF!</definedName>
    <definedName name="time_table_standarisasi_peralatan__mesin">#REF!</definedName>
    <definedName name="TITLE">#REF!</definedName>
    <definedName name="TK">#REF!</definedName>
    <definedName name="tktity">#REF!</definedName>
    <definedName name="TNI">#REF!</definedName>
    <definedName name="TNI_HEAD">#REF!</definedName>
    <definedName name="To">#REF!</definedName>
    <definedName name="ToList">"List Box 5"</definedName>
    <definedName name="TOLLLL">#REF!</definedName>
    <definedName name="Tonase_Harv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pmanager">#REF!</definedName>
    <definedName name="toppaje">#REF!</definedName>
    <definedName name="TOT">#REF!</definedName>
    <definedName name="Total_DLK_Rutin">#REF!</definedName>
    <definedName name="Total_Interest">#REF!</definedName>
    <definedName name="TOTAL_KOREKSI">#REF!</definedName>
    <definedName name="Total_Pay">#REF!</definedName>
    <definedName name="Total_Payment" localSheetId="2">Scheduled_Payment+Extra_Payment</definedName>
    <definedName name="Total_Payment">Scheduled_Payment+Extra_Payment</definedName>
    <definedName name="Total_PM">#REF!</definedName>
    <definedName name="TOTALBS01">#REF!</definedName>
    <definedName name="TOTALBS02">#REF!</definedName>
    <definedName name="TOTALBS03">#REF!</definedName>
    <definedName name="TOTALBS04CR">#REF!</definedName>
    <definedName name="TOTALBS04DR">#REF!</definedName>
    <definedName name="TOTALBS05">#REF!</definedName>
    <definedName name="TOTALBS05.3">#REF!</definedName>
    <definedName name="TOTALBS06">#REF!</definedName>
    <definedName name="TOTALBS07">#REF!</definedName>
    <definedName name="TOTALBS08">#REF!</definedName>
    <definedName name="TOTALBS09">#REF!</definedName>
    <definedName name="TOTALBS09.3">#REF!</definedName>
    <definedName name="TOTALBS10">#REF!</definedName>
    <definedName name="TOTALBS11">#REF!</definedName>
    <definedName name="TOTALBS12">#REF!</definedName>
    <definedName name="totl">#REF!</definedName>
    <definedName name="Totstandsal">#REF!</definedName>
    <definedName name="Totstandsalpy">#REF!</definedName>
    <definedName name="TRADING">#REF!</definedName>
    <definedName name="TransLiab">#REF!</definedName>
    <definedName name="Transport">#REF!</definedName>
    <definedName name="transportlain">#REF!</definedName>
    <definedName name="Travel">#REF!</definedName>
    <definedName name="TRAVELLING">#REF!</definedName>
    <definedName name="TrendCurrent">#REF!</definedName>
    <definedName name="TrendPY4_Sel1">#REF!</definedName>
    <definedName name="TrendRollFWD">#REF!</definedName>
    <definedName name="Trial_Balance">#REF!</definedName>
    <definedName name="TRIALBAL">#REF!</definedName>
    <definedName name="TRIBAL02">#REF!</definedName>
    <definedName name="TRNP_REVENUE_IF">#REF!</definedName>
    <definedName name="TRNP_REVENUE_IF_1">#REF!</definedName>
    <definedName name="trtratr">#REF!</definedName>
    <definedName name="truck">#REF!</definedName>
    <definedName name="truck_1">#REF!</definedName>
    <definedName name="trurjkkjyk">#REF!</definedName>
    <definedName name="trurur">#REF!</definedName>
    <definedName name="TS">#REF!</definedName>
    <definedName name="Tsal">#REF!</definedName>
    <definedName name="tspan08">#N/A</definedName>
    <definedName name="TT">#REF!</definedName>
    <definedName name="TTLJL03">#REF!</definedName>
    <definedName name="ttr">#REF!</definedName>
    <definedName name="tui" hidden="1">{#N/A,#N/A,FALSE,"DATA"}</definedName>
    <definedName name="TUJUH">#N/A</definedName>
    <definedName name="TUJUHBELAS">#N/A</definedName>
    <definedName name="Turnaround">#REF!</definedName>
    <definedName name="turnover">#REF!</definedName>
    <definedName name="TURNOVER_4">#REF!</definedName>
    <definedName name="TwoThruFiveCols">48</definedName>
    <definedName name="twoThruFiveMethod">12</definedName>
    <definedName name="tyatyatyy">#REF!</definedName>
    <definedName name="TycoRate">#REF!</definedName>
    <definedName name="tyetyetyety">#REF!</definedName>
    <definedName name="tyit">#REF!</definedName>
    <definedName name="tyitithgj">#REF!</definedName>
    <definedName name="tyururstuj">#REF!</definedName>
    <definedName name="U">#N/A</definedName>
    <definedName name="UDIN">#REF!</definedName>
    <definedName name="umum">#REF!</definedName>
    <definedName name="uncollectibles">#REF!</definedName>
    <definedName name="unit">#REF!</definedName>
    <definedName name="unnamed">"$"</definedName>
    <definedName name="unnamed_1">"$"</definedName>
    <definedName name="unnamed_10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>"$"</definedName>
    <definedName name="unnamed_20">#REF!</definedName>
    <definedName name="unnamed_21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realisedExchg.">#REF!</definedName>
    <definedName name="UOM">#REF!</definedName>
    <definedName name="Upkeep">#REF!</definedName>
    <definedName name="urckotor">#REF!</definedName>
    <definedName name="urut_bm_ppn_pph_22">#REF!</definedName>
    <definedName name="urutyuyu">#REF!</definedName>
    <definedName name="UsagePM">#REF!</definedName>
    <definedName name="usd">#REF!</definedName>
    <definedName name="USD_S">#REF!</definedName>
    <definedName name="USDRcpt">#REF!</definedName>
    <definedName name="USRP">#N/A</definedName>
    <definedName name="utilities">#REF!</definedName>
    <definedName name="UUU" hidden="1">#REF!</definedName>
    <definedName name="uygi" hidden="1">{#N/A,#N/A,FALSE,"94-95";"SAMANDR",#N/A,FALSE,"94-95"}</definedName>
    <definedName name="uyiyitjgh">#REF!</definedName>
    <definedName name="V">#REF!</definedName>
    <definedName name="v_tb_imb">#REF!</definedName>
    <definedName name="v_tb_imb_co">#REF!</definedName>
    <definedName name="val_bop">#REF!</definedName>
    <definedName name="valeop1">#REF!</definedName>
    <definedName name="valid">#REF!</definedName>
    <definedName name="Values_Entered">IF(Loan_Amount*Interest_Rate*Loan_Years*Loan_Start&gt;0,1,0)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4">#N/A</definedName>
    <definedName name="Values_Entered_5">#N/A</definedName>
    <definedName name="vc">#REF!</definedName>
    <definedName name="vdate_0">#REF!</definedName>
    <definedName name="vehic_insurance">#REF!</definedName>
    <definedName name="vehic_insurance_1">#REF!</definedName>
    <definedName name="vehicle_1">#REF!</definedName>
    <definedName name="vendor">#REF!</definedName>
    <definedName name="Verbal_Comittment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LOOKUP">#REF!</definedName>
    <definedName name="VND">#REF!</definedName>
    <definedName name="vvv" hidden="1">{#N/A,#N/A,FALSE,"Aging Summary";#N/A,#N/A,FALSE,"Ratio Analysis";#N/A,#N/A,FALSE,"Test 120 Day Accts";#N/A,#N/A,FALSE,"Tickmarks"}</definedName>
    <definedName name="w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jo">#REF!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#REF!</definedName>
    <definedName name="Wang_Foo_Transportation_LTD">#REF!</definedName>
    <definedName name="WAS">#REF!</definedName>
    <definedName name="Water_Price">#REF!</definedName>
    <definedName name="WaterElec.">#REF!</definedName>
    <definedName name="wbs2top">#REF!</definedName>
    <definedName name="wd">#REF!</definedName>
    <definedName name="WEEK051101">#REF!</definedName>
    <definedName name="WEEK09070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00801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00701">#REF!</definedName>
    <definedName name="WEEK311201">#REF!</definedName>
    <definedName name="weekly">#REF!</definedName>
    <definedName name="WhTAx">#REF!</definedName>
    <definedName name="wien">#REF!</definedName>
    <definedName name="WILAYAH">#REF!</definedName>
    <definedName name="wilmar">#N/A</definedName>
    <definedName name="Wilmar_two">#N/A</definedName>
    <definedName name="wjhrqwjrhqkrhkqwj">#N/A</definedName>
    <definedName name="Woodleight_Water_Meter_STR">#REF!</definedName>
    <definedName name="Workforce_Selected">#REF!</definedName>
    <definedName name="Worksheets31_Dec_2002">#REF!</definedName>
    <definedName name="wp">#REF!</definedName>
    <definedName name="wpaddress01">#REF!</definedName>
    <definedName name="wpaddress02">#REF!</definedName>
    <definedName name="wpaddress03">#REF!</definedName>
    <definedName name="WPKUASA">#REF!</definedName>
    <definedName name="WPKUASA_4">#REF!</definedName>
    <definedName name="WPL">#REF!</definedName>
    <definedName name="wpltop">#REF!</definedName>
    <definedName name="wpname">#REF!</definedName>
    <definedName name="wre">#REF!</definedName>
    <definedName name="wrn.12._.Costs._.Act._.Fcast._.All." hidden="1">{#N/A,#N/A,FALSE,"Act.Fcst Costs"}</definedName>
    <definedName name="wrn.Aging._.and._.Trend._.Analysis." hidden="1">{#N/A,#N/A,FALSE,"Aging Summary";#N/A,#N/A,FALSE,"Ratio Analysis";#N/A,#N/A,FALSE,"Test 120 Day Accts";#N/A,#N/A,FALSE,"Tickmarks"}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data." hidden="1">{#N/A,#N/A,FALSE,"DATA"}</definedName>
    <definedName name="wrn.Debbie._.Hawkins." hidden="1">{"Admin Costs",#N/A,FALSE,"Act.Fcst Costs"}</definedName>
    <definedName name="wrn.George._.Viska." hidden="1">{#N/A,#N/A,FALSE,"Cost Report";#N/A,#N/A,FALSE,"Qtly Summ.";#N/A,#N/A,FALSE,"Mar  Qtr";#N/A,#N/A,FALSE,"Report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Rob._.Smith." hidden="1">{#N/A,#N/A,FALSE,"Cost Report";"Geology",#N/A,FALSE,"Cost Summary";"Geolgy Recon",#N/A,FALSE,"UG Geology Rep."}</definedName>
    <definedName name="wrn.SAMANDR." hidden="1">{#N/A,#N/A,FALSE,"94-95";"SAMANDR",#N/A,FALSE,"94-95"}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qwhrkqrhkqjr">#N/A</definedName>
    <definedName name="WSFL">#REF!</definedName>
    <definedName name="WSFR">#REF!</definedName>
    <definedName name="WSHED">#REF!</definedName>
    <definedName name="WTax">#REF!</definedName>
    <definedName name="WW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ww" hidden="1">{#N/A,#N/A,FALSE,"Aging Summary";#N/A,#N/A,FALSE,"Ratio Analysis";#N/A,#N/A,FALSE,"Test 120 Day Accts";#N/A,#N/A,FALSE,"Tickmarks"}</definedName>
    <definedName name="www___6">#N/A</definedName>
    <definedName name="www___7">#N/A</definedName>
    <definedName name="www_39">#N/A</definedName>
    <definedName name="www_4">#N/A</definedName>
    <definedName name="www_7">#N/A</definedName>
    <definedName name="x">#REF!</definedName>
    <definedName name="xp" hidden="1">#REF!</definedName>
    <definedName name="XRApr">#REF!</definedName>
    <definedName name="XRAug">#REF!</definedName>
    <definedName name="XRDec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5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51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46</definedName>
    <definedName name="XRFeb">#REF!</definedName>
    <definedName name="XRJan">#REF!</definedName>
    <definedName name="XRJul">#REF!</definedName>
    <definedName name="XRMar">#REF!</definedName>
    <definedName name="XRMay">#REF!</definedName>
    <definedName name="XRNov">#REF!</definedName>
    <definedName name="XROct">#REF!</definedName>
    <definedName name="XRSep">#REF!</definedName>
    <definedName name="XRYear">#REF!</definedName>
    <definedName name="xx">#REF!</definedName>
    <definedName name="xxx" hidden="1">{#N/A,#N/A,FALSE,"Aging Summary";#N/A,#N/A,FALSE,"Ratio Analysis";#N/A,#N/A,FALSE,"Test 120 Day Accts";#N/A,#N/A,FALSE,"Tickmarks"}</definedName>
    <definedName name="xxxx">#REF!</definedName>
    <definedName name="XXXXXXXXX" hidden="1">{#N/A,#N/A,FALSE,"Aging Summary";#N/A,#N/A,FALSE,"Ratio Analysis";#N/A,#N/A,FALSE,"Test 120 Day Accts";#N/A,#N/A,FALSE,"Tickmarks"}</definedName>
    <definedName name="YA">#REF!</definedName>
    <definedName name="YALE_HARDWARE">#REF!</definedName>
    <definedName name="yang">#REF!</definedName>
    <definedName name="Year">#REF!</definedName>
    <definedName name="Year0">#REF!</definedName>
    <definedName name="year01">#REF!</definedName>
    <definedName name="year02">#REF!</definedName>
    <definedName name="year03">#REF!</definedName>
    <definedName name="year04">#REF!</definedName>
    <definedName name="year2">#REF!</definedName>
    <definedName name="YEARLY">#REF!</definedName>
    <definedName name="yearp">#REF!</definedName>
    <definedName name="YearsForecasting">5</definedName>
    <definedName name="yearsHistory">1</definedName>
    <definedName name="yel">#REF!</definedName>
    <definedName name="YEN">#REF!</definedName>
    <definedName name="YEN1">#REF!</definedName>
    <definedName name="YEN2">#REF!</definedName>
    <definedName name="yetetytya">#REF!</definedName>
    <definedName name="yeydhdhgfh" localSheetId="2">InputModel</definedName>
    <definedName name="yeydhdhgfh">InputModel</definedName>
    <definedName name="yeyeeyey">#REF!</definedName>
    <definedName name="ymh_final">#N/A</definedName>
    <definedName name="YMH_pph21">#N/A</definedName>
    <definedName name="YMH_pph25">#N/A</definedName>
    <definedName name="YMH_ppn">#N/A</definedName>
    <definedName name="YrBal">1</definedName>
    <definedName name="yrcurr">1999</definedName>
    <definedName name="YrOne">12</definedName>
    <definedName name="yrpr">1998</definedName>
    <definedName name="YrTwoFive">12</definedName>
    <definedName name="yrtytw" hidden="1">#REF!</definedName>
    <definedName name="YU">#REF!</definedName>
    <definedName name="yujghjghj" hidden="1">{"'Key fig. Rpt'!$B$5:$K$94"}</definedName>
    <definedName name="YULI">#REF!</definedName>
    <definedName name="yuyurhj">#REF!</definedName>
    <definedName name="ywry">#REF!</definedName>
    <definedName name="yy" hidden="1">{#N/A,#N/A,FALSE,"Aging Summary";#N/A,#N/A,FALSE,"Ratio Analysis";#N/A,#N/A,FALSE,"Test 120 Day Accts";#N/A,#N/A,FALSE,"Tickmarks"}</definedName>
    <definedName name="yydhtr">#REF!</definedName>
    <definedName name="yytetyety">#REF!</definedName>
    <definedName name="YYY" hidden="1">#REF!</definedName>
    <definedName name="Z_9A428CE1_B4D9_11D0_A8AA_0000C071AEE7_.wvu.Cols" hidden="1">#REF!,#REF!</definedName>
    <definedName name="Zhujhai_C._Feng_Scie___Tech">#REF!</definedName>
    <definedName name="ZZZ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ㅁㄷㅇㅂㅈㄷ">#REF!</definedName>
    <definedName name="부서명">#REF!</definedName>
    <definedName name="수출">#REF!</definedName>
    <definedName name="품목별">#REF!</definedName>
    <definedName name="効率性">#REF!</definedName>
    <definedName name="収益性">#REF!</definedName>
    <definedName name="基本デタ">#REF!</definedName>
    <definedName name="安全性">#REF!</definedName>
    <definedName name="投資目的">#REF!</definedName>
    <definedName name="生産性">#REF!</definedName>
    <definedName name="経営指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 a="1"/>
  <c r="F7" i="3" s="1"/>
  <c r="K7" i="3" a="1"/>
  <c r="K7" i="3" s="1"/>
  <c r="G78" i="1"/>
  <c r="N38" i="1"/>
  <c r="N37" i="1"/>
  <c r="N36" i="1"/>
  <c r="N35" i="1"/>
  <c r="N34" i="1"/>
  <c r="N33" i="1"/>
  <c r="N32" i="1"/>
  <c r="N31" i="1"/>
  <c r="N30" i="1"/>
  <c r="P30" i="1" s="1"/>
  <c r="N29" i="1"/>
  <c r="P29" i="1" s="1"/>
  <c r="N28" i="1"/>
  <c r="P28" i="1" s="1"/>
  <c r="N27" i="1"/>
  <c r="P27" i="1" s="1"/>
  <c r="N26" i="1"/>
  <c r="P26" i="1" s="1"/>
  <c r="N25" i="1"/>
  <c r="P25" i="1" s="1"/>
  <c r="N24" i="1"/>
  <c r="P24" i="1" s="1"/>
  <c r="N23" i="1"/>
  <c r="N22" i="1"/>
  <c r="N21" i="1"/>
  <c r="N20" i="1"/>
  <c r="N19" i="1"/>
  <c r="P19" i="1" s="1"/>
  <c r="N18" i="1"/>
  <c r="N17" i="1"/>
  <c r="P17" i="1" s="1"/>
  <c r="N16" i="1"/>
  <c r="N15" i="1"/>
  <c r="P15" i="1" s="1"/>
  <c r="N14" i="1"/>
  <c r="P31" i="1"/>
  <c r="P39" i="1"/>
  <c r="P38" i="1"/>
  <c r="P37" i="1"/>
  <c r="P36" i="1"/>
  <c r="P35" i="1"/>
  <c r="P34" i="1"/>
  <c r="P33" i="1"/>
  <c r="P32" i="1"/>
  <c r="AJ3" i="2"/>
  <c r="M11" i="1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Q39" i="1"/>
  <c r="Q38" i="1"/>
  <c r="Q37" i="1"/>
  <c r="Q36" i="1"/>
  <c r="Q35" i="1"/>
  <c r="P23" i="1"/>
  <c r="P22" i="1"/>
  <c r="P21" i="1"/>
  <c r="P20" i="1"/>
  <c r="P18" i="1"/>
  <c r="P16" i="1"/>
  <c r="P14" i="1"/>
  <c r="Q48" i="1"/>
  <c r="Q49" i="1"/>
  <c r="Q50" i="1"/>
  <c r="Q51" i="1"/>
  <c r="Q52" i="1"/>
  <c r="Q53" i="1"/>
  <c r="Q54" i="1"/>
  <c r="Q55" i="1"/>
  <c r="Q56" i="1"/>
  <c r="Q57" i="1"/>
  <c r="Q58" i="1"/>
  <c r="Q68" i="1"/>
  <c r="Q69" i="1"/>
  <c r="Q47" i="1"/>
  <c r="AK20" i="2" l="1"/>
  <c r="R77" i="1"/>
  <c r="Q77" i="1"/>
  <c r="P77" i="1"/>
  <c r="O77" i="1"/>
  <c r="N77" i="1"/>
  <c r="M77" i="1"/>
  <c r="L77" i="1"/>
  <c r="K77" i="1"/>
  <c r="J77" i="1"/>
  <c r="I77" i="1"/>
  <c r="H77" i="1"/>
  <c r="G77" i="1"/>
  <c r="Q73" i="1"/>
  <c r="P73" i="1"/>
  <c r="O73" i="1"/>
  <c r="N73" i="1"/>
  <c r="Q72" i="1"/>
  <c r="P72" i="1"/>
  <c r="O72" i="1"/>
  <c r="N72" i="1"/>
  <c r="Q71" i="1"/>
  <c r="P71" i="1"/>
  <c r="O71" i="1"/>
  <c r="N71" i="1"/>
  <c r="Q70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R69" i="1" l="1"/>
  <c r="S69" i="1" s="1"/>
  <c r="R72" i="1"/>
  <c r="S72" i="1" s="1"/>
  <c r="R67" i="1"/>
  <c r="AK21" i="2"/>
  <c r="R66" i="1"/>
  <c r="R68" i="1"/>
  <c r="S68" i="1" s="1"/>
  <c r="J74" i="1"/>
  <c r="J78" i="1" s="1"/>
  <c r="J79" i="1" s="1"/>
  <c r="M74" i="1"/>
  <c r="M78" i="1" s="1"/>
  <c r="M79" i="1" s="1"/>
  <c r="K74" i="1"/>
  <c r="K78" i="1" s="1"/>
  <c r="K79" i="1" s="1"/>
  <c r="O74" i="1"/>
  <c r="O78" i="1" s="1"/>
  <c r="O79" i="1" s="1"/>
  <c r="S77" i="1"/>
  <c r="N74" i="1"/>
  <c r="N78" i="1" s="1"/>
  <c r="N79" i="1" s="1"/>
  <c r="L74" i="1"/>
  <c r="L78" i="1" s="1"/>
  <c r="L79" i="1" s="1"/>
  <c r="I74" i="1"/>
  <c r="I78" i="1" s="1"/>
  <c r="I79" i="1" s="1"/>
  <c r="H74" i="1"/>
  <c r="H78" i="1" s="1"/>
  <c r="H79" i="1" s="1"/>
  <c r="G74" i="1"/>
  <c r="G79" i="1" s="1"/>
  <c r="P74" i="1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9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7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8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9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5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6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5" i="2"/>
  <c r="R73" i="1"/>
  <c r="S73" i="1" s="1"/>
  <c r="R71" i="1"/>
  <c r="S71" i="1" s="1"/>
  <c r="R70" i="1"/>
  <c r="S70" i="1" s="1"/>
  <c r="R64" i="1"/>
  <c r="R63" i="1"/>
  <c r="R62" i="1"/>
  <c r="R61" i="1"/>
  <c r="R60" i="1"/>
  <c r="R59" i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R47" i="1"/>
  <c r="S47" i="1" s="1"/>
  <c r="AI5" i="2"/>
  <c r="AI4" i="2"/>
  <c r="AI3" i="2"/>
  <c r="AH3" i="2" s="1"/>
  <c r="AH4" i="2" s="1"/>
  <c r="AH5" i="2" s="1"/>
  <c r="AH6" i="2" s="1"/>
  <c r="AH7" i="2" s="1"/>
  <c r="AH8" i="2" s="1"/>
  <c r="AE3" i="2"/>
  <c r="AE4" i="2" s="1"/>
  <c r="AE5" i="2" s="1"/>
  <c r="AE6" i="2" s="1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B3" i="2"/>
  <c r="AB4" i="2" s="1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G3" i="2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F11" i="1"/>
  <c r="L10" i="1"/>
  <c r="L11" i="1" s="1"/>
  <c r="K10" i="1"/>
  <c r="K11" i="1" s="1"/>
  <c r="J10" i="1"/>
  <c r="J11" i="1" s="1"/>
  <c r="I10" i="1"/>
  <c r="I11" i="1" s="1"/>
  <c r="H10" i="1"/>
  <c r="H11" i="1" s="1"/>
  <c r="G10" i="1"/>
  <c r="G11" i="1" s="1"/>
  <c r="F10" i="1"/>
  <c r="E10" i="1"/>
  <c r="E11" i="1" s="1"/>
  <c r="D10" i="1"/>
  <c r="D11" i="1" s="1"/>
  <c r="C10" i="1"/>
  <c r="C11" i="1" s="1"/>
  <c r="O9" i="1"/>
  <c r="N9" i="1"/>
  <c r="M9" i="1"/>
  <c r="L9" i="1"/>
  <c r="K9" i="1"/>
  <c r="J9" i="1"/>
  <c r="I9" i="1"/>
  <c r="H9" i="1"/>
  <c r="G9" i="1"/>
  <c r="F9" i="1"/>
  <c r="E9" i="1"/>
  <c r="D9" i="1"/>
  <c r="C9" i="1"/>
  <c r="O8" i="1"/>
  <c r="AK22" i="2" l="1"/>
  <c r="AK23" i="2" s="1"/>
  <c r="AK24" i="2" s="1"/>
  <c r="AK25" i="2" s="1"/>
  <c r="AK26" i="2" s="1"/>
  <c r="AK27" i="2" s="1"/>
  <c r="R65" i="1"/>
  <c r="R74" i="1" s="1"/>
  <c r="R78" i="1" s="1"/>
  <c r="R79" i="1" s="1"/>
  <c r="P78" i="1"/>
  <c r="P79" i="1" s="1"/>
  <c r="AH9" i="2"/>
  <c r="AH10" i="2" s="1"/>
  <c r="AH11" i="2" s="1"/>
  <c r="AH12" i="2" s="1"/>
  <c r="AH13" i="2" s="1"/>
  <c r="AH14" i="2" s="1"/>
  <c r="S48" i="1"/>
  <c r="M10" i="1"/>
  <c r="AN2" i="2" l="1" a="1"/>
  <c r="AN2" i="2" s="1"/>
  <c r="Q63" i="1"/>
  <c r="S63" i="1" s="1"/>
  <c r="Q62" i="1"/>
  <c r="S62" i="1" s="1"/>
  <c r="Q61" i="1"/>
  <c r="S61" i="1" s="1"/>
  <c r="Q60" i="1"/>
  <c r="S60" i="1" s="1"/>
  <c r="Q67" i="1"/>
  <c r="S67" i="1" s="1"/>
  <c r="Q66" i="1"/>
  <c r="S66" i="1" s="1"/>
  <c r="Q65" i="1"/>
  <c r="S65" i="1" s="1"/>
  <c r="Q64" i="1"/>
  <c r="S64" i="1" s="1"/>
  <c r="Q59" i="1" l="1"/>
  <c r="N10" i="1"/>
  <c r="AH15" i="2"/>
  <c r="O10" i="1" l="1"/>
  <c r="N11" i="1"/>
  <c r="AH16" i="2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Q74" i="1"/>
  <c r="Q78" i="1" s="1"/>
  <c r="S59" i="1"/>
  <c r="S74" i="1" s="1"/>
  <c r="P7" i="3" l="1"/>
  <c r="Q79" i="1"/>
  <c r="S78" i="1"/>
  <c r="S7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<sst xmlns="http://schemas.openxmlformats.org/spreadsheetml/2006/main" count="149" uniqueCount="69">
  <si>
    <t>PT CKD OTTO PHARMACEUTICALS
Daily Sales</t>
  </si>
  <si>
    <t>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</si>
  <si>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</si>
  <si>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</si>
  <si>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</si>
  <si>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</si>
  <si>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</si>
  <si>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</si>
  <si>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</si>
  <si>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</si>
  <si>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</si>
  <si>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</si>
  <si>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</si>
  <si>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</si>
  <si>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</si>
  <si>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Business Plan</t>
  </si>
  <si>
    <t>AVG</t>
  </si>
  <si>
    <t>Estimation</t>
  </si>
  <si>
    <t>Ach</t>
  </si>
  <si>
    <t>WD</t>
  </si>
  <si>
    <t>Average</t>
  </si>
  <si>
    <t>% achiev</t>
  </si>
  <si>
    <t>Target</t>
  </si>
  <si>
    <t>Acc Jan</t>
  </si>
  <si>
    <t>Sales</t>
  </si>
  <si>
    <t>PT CKD OTTO PHARMACEUTICALS
EXECUTIVE INFORMATION SUMMARY</t>
  </si>
  <si>
    <t>Achievement</t>
  </si>
  <si>
    <t>1.2-4</t>
  </si>
  <si>
    <t>Monthly Closing Estimation (M + 1) : Weekly basis</t>
  </si>
  <si>
    <t>a) Definition</t>
  </si>
  <si>
    <t xml:space="preserve">: </t>
  </si>
  <si>
    <t>Based on daily sales amount, calculate the monthly closing estimation</t>
  </si>
  <si>
    <t>b) Formula</t>
  </si>
  <si>
    <t>:</t>
  </si>
  <si>
    <t>Trend(average daily sales amount, actual working day,remain working day)</t>
  </si>
  <si>
    <t>(in Million IDR)</t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</si>
  <si>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</si>
  <si>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</si>
  <si>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</si>
  <si>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</si>
  <si>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</si>
  <si>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</si>
  <si>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</si>
  <si>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</si>
  <si>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</si>
  <si>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</si>
  <si>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</si>
  <si>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</si>
  <si>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 Sales Est.</t>
  </si>
  <si>
    <t>Figure</t>
  </si>
  <si>
    <t>&gt; Business Plan</t>
  </si>
  <si>
    <t>&gt; Estimation</t>
  </si>
  <si>
    <t>DAILY SALES PERFORMANCE</t>
  </si>
  <si>
    <t xml:space="preserve">As of </t>
  </si>
  <si>
    <t>Bussiness Plan</t>
  </si>
  <si>
    <t>Expectation Closing</t>
  </si>
  <si>
    <t>Achievment</t>
  </si>
  <si>
    <t>h</t>
  </si>
  <si>
    <t>Acc Feb</t>
  </si>
  <si>
    <t>Acc Mar</t>
  </si>
  <si>
    <t>Acc Apr</t>
  </si>
  <si>
    <t>Acc May</t>
  </si>
  <si>
    <t>Acc Jun</t>
  </si>
  <si>
    <t>Acc Jul</t>
  </si>
  <si>
    <t>Acc Aug</t>
  </si>
  <si>
    <t>Acc Sep</t>
  </si>
  <si>
    <t>Acc Oct</t>
  </si>
  <si>
    <t>Acc Nov</t>
  </si>
  <si>
    <t>Acc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</si>
</sst>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9" tint="0.79998168889431442"/>
      <name val="Webdings"/>
      <family val="1"/>
      <charset val="2"/>
    </font>
    <font>
      <b/>
      <sz val="12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ptos Narrow"/>
      <family val="2"/>
      <charset val="1"/>
    </font>
    <font>
      <b/>
      <i/>
      <sz val="10"/>
      <color theme="1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ptos Narrow"/>
      <family val="2"/>
      <charset val="1"/>
    </font>
    <font>
      <sz val="12"/>
      <color rgb="FFFF0000"/>
      <name val="Calibri"/>
      <family val="2"/>
      <scheme val="minor"/>
    </font>
    <font>
      <b/>
      <i/>
      <sz val="12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4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64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horizontal="right"/>
    </xf>
    <xf numFmtId="164" fontId="15" fillId="0" borderId="0" xfId="1" applyNumberFormat="1" applyFont="1"/>
    <xf numFmtId="0" fontId="15" fillId="0" borderId="0" xfId="0" applyFont="1"/>
    <xf numFmtId="0" fontId="9" fillId="0" borderId="5" xfId="0" applyFont="1" applyBorder="1" applyAlignment="1">
      <alignment vertical="center"/>
    </xf>
    <xf numFmtId="164" fontId="9" fillId="0" borderId="0" xfId="1" applyNumberFormat="1" applyFont="1"/>
    <xf numFmtId="9" fontId="2" fillId="0" borderId="0" xfId="2" applyFont="1" applyAlignment="1">
      <alignment horizontal="right"/>
    </xf>
    <xf numFmtId="0" fontId="16" fillId="0" borderId="5" xfId="0" applyFont="1" applyBorder="1" applyAlignment="1">
      <alignment horizontal="right" vertical="center"/>
    </xf>
    <xf numFmtId="0" fontId="17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2" applyNumberFormat="1" applyFont="1"/>
    <xf numFmtId="164" fontId="17" fillId="0" borderId="5" xfId="0" applyNumberFormat="1" applyFont="1" applyBorder="1" applyAlignment="1">
      <alignment vertical="center"/>
    </xf>
    <xf numFmtId="9" fontId="17" fillId="0" borderId="5" xfId="2" applyFont="1" applyBorder="1" applyAlignment="1">
      <alignment vertical="center"/>
    </xf>
    <xf numFmtId="0" fontId="9" fillId="0" borderId="5" xfId="0" applyFont="1" applyBorder="1"/>
    <xf numFmtId="164" fontId="13" fillId="0" borderId="4" xfId="1" applyNumberFormat="1" applyFont="1" applyBorder="1" applyAlignment="1">
      <alignment horizontal="center"/>
    </xf>
    <xf numFmtId="164" fontId="9" fillId="0" borderId="5" xfId="1" applyNumberFormat="1" applyFont="1" applyBorder="1" applyAlignment="1">
      <alignment vertical="center"/>
    </xf>
    <xf numFmtId="0" fontId="9" fillId="0" borderId="4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NumberFormat="1" applyFont="1" applyBorder="1" applyAlignment="1">
      <alignment vertical="center"/>
    </xf>
    <xf numFmtId="164" fontId="17" fillId="0" borderId="5" xfId="1" applyNumberFormat="1" applyFont="1" applyBorder="1" applyAlignment="1">
      <alignment vertical="center"/>
    </xf>
    <xf numFmtId="164" fontId="0" fillId="0" borderId="0" xfId="1" applyNumberFormat="1" applyFont="1" applyBorder="1"/>
    <xf numFmtId="9" fontId="0" fillId="0" borderId="0" xfId="2" applyFont="1" applyBorder="1"/>
    <xf numFmtId="164" fontId="9" fillId="0" borderId="0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9" fontId="17" fillId="0" borderId="0" xfId="2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9" fontId="0" fillId="0" borderId="0" xfId="0" applyNumberFormat="1"/>
    <xf numFmtId="164" fontId="9" fillId="0" borderId="0" xfId="1" applyNumberFormat="1" applyFont="1" applyBorder="1" applyAlignment="1">
      <alignment horizontal="center" vertical="center"/>
    </xf>
    <xf numFmtId="164" fontId="9" fillId="0" borderId="0" xfId="1" applyNumberFormat="1" applyFont="1" applyBorder="1"/>
    <xf numFmtId="43" fontId="17" fillId="0" borderId="0" xfId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3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14" fillId="0" borderId="7" xfId="0" applyFont="1" applyBorder="1"/>
    <xf numFmtId="0" fontId="9" fillId="0" borderId="7" xfId="0" applyFont="1" applyBorder="1"/>
    <xf numFmtId="0" fontId="16" fillId="0" borderId="8" xfId="0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165" fontId="9" fillId="0" borderId="0" xfId="2" applyNumberFormat="1" applyFont="1" applyBorder="1" applyAlignment="1">
      <alignment vertical="center"/>
    </xf>
    <xf numFmtId="9" fontId="14" fillId="0" borderId="0" xfId="2" applyFont="1" applyBorder="1" applyAlignment="1">
      <alignment vertical="center"/>
    </xf>
    <xf numFmtId="164" fontId="14" fillId="0" borderId="0" xfId="1" applyNumberFormat="1" applyFont="1" applyBorder="1" applyAlignment="1">
      <alignment horizontal="center" vertical="center"/>
    </xf>
    <xf numFmtId="164" fontId="14" fillId="0" borderId="0" xfId="1" applyNumberFormat="1" applyFont="1" applyBorder="1" applyAlignment="1">
      <alignment vertical="center"/>
    </xf>
    <xf numFmtId="164" fontId="14" fillId="0" borderId="5" xfId="1" applyNumberFormat="1" applyFont="1" applyBorder="1" applyAlignment="1">
      <alignment vertical="center"/>
    </xf>
    <xf numFmtId="9" fontId="13" fillId="0" borderId="4" xfId="2" applyFont="1" applyBorder="1" applyAlignment="1">
      <alignment horizontal="center"/>
    </xf>
    <xf numFmtId="9" fontId="14" fillId="0" borderId="0" xfId="2" applyFont="1" applyBorder="1" applyAlignment="1">
      <alignment horizontal="center" vertical="center"/>
    </xf>
    <xf numFmtId="9" fontId="9" fillId="0" borderId="0" xfId="2" applyFont="1" applyBorder="1" applyAlignment="1">
      <alignment vertical="center"/>
    </xf>
    <xf numFmtId="9" fontId="14" fillId="0" borderId="5" xfId="2" applyFont="1" applyBorder="1" applyAlignment="1">
      <alignment vertical="center"/>
    </xf>
    <xf numFmtId="9" fontId="9" fillId="0" borderId="0" xfId="2" applyFont="1"/>
    <xf numFmtId="165" fontId="13" fillId="0" borderId="4" xfId="2" applyNumberFormat="1" applyFont="1" applyBorder="1" applyAlignment="1">
      <alignment horizontal="center"/>
    </xf>
    <xf numFmtId="165" fontId="9" fillId="0" borderId="0" xfId="2" applyNumberFormat="1" applyFont="1" applyBorder="1" applyAlignment="1">
      <alignment horizontal="center" vertical="center"/>
    </xf>
    <xf numFmtId="165" fontId="9" fillId="0" borderId="5" xfId="2" applyNumberFormat="1" applyFont="1" applyBorder="1" applyAlignment="1">
      <alignment vertical="center"/>
    </xf>
    <xf numFmtId="165" fontId="9" fillId="0" borderId="0" xfId="2" applyNumberFormat="1" applyFont="1"/>
    <xf numFmtId="9" fontId="9" fillId="0" borderId="0" xfId="2" applyFont="1" applyBorder="1" applyAlignment="1">
      <alignment horizontal="center" vertical="center"/>
    </xf>
    <xf numFmtId="9" fontId="9" fillId="0" borderId="5" xfId="2" applyFont="1" applyBorder="1" applyAlignment="1">
      <alignment vertical="center"/>
    </xf>
    <xf numFmtId="165" fontId="0" fillId="0" borderId="0" xfId="0" applyNumberFormat="1"/>
    <xf numFmtId="0" fontId="14" fillId="0" borderId="0" xfId="0" applyFont="1"/>
    <xf numFmtId="14" fontId="0" fillId="0" borderId="0" xfId="0" applyNumberFormat="1"/>
    <xf numFmtId="0" fontId="3" fillId="0" borderId="0" xfId="0" applyFont="1"/>
    <xf numFmtId="0" fontId="19" fillId="0" borderId="4" xfId="0" applyFont="1" applyBorder="1" applyAlignment="1">
      <alignment horizontal="center"/>
    </xf>
    <xf numFmtId="0" fontId="20" fillId="0" borderId="5" xfId="0" applyFont="1" applyBorder="1" applyAlignment="1">
      <alignment horizontal="right" vertical="center"/>
    </xf>
    <xf numFmtId="0" fontId="13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6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164" fontId="14" fillId="0" borderId="0" xfId="1" applyNumberFormat="1" applyFont="1" applyBorder="1"/>
    <xf numFmtId="164" fontId="16" fillId="0" borderId="5" xfId="1" applyNumberFormat="1" applyFont="1" applyBorder="1" applyAlignment="1">
      <alignment horizontal="right" vertical="center"/>
    </xf>
    <xf numFmtId="9" fontId="16" fillId="0" borderId="5" xfId="2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64" fontId="9" fillId="0" borderId="0" xfId="1" applyNumberFormat="1" applyFont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22" fillId="0" borderId="0" xfId="0" applyFont="1"/>
    <xf numFmtId="0" fontId="23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1" xfId="0" applyFont="1" applyBorder="1" applyAlignment="1">
      <alignment horizontal="center"/>
    </xf>
    <xf numFmtId="0" fontId="23" fillId="0" borderId="2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8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164" fontId="17" fillId="0" borderId="17" xfId="1" applyNumberFormat="1" applyFont="1" applyBorder="1" applyAlignment="1">
      <alignment vertical="center"/>
    </xf>
    <xf numFmtId="164" fontId="17" fillId="0" borderId="18" xfId="0" applyNumberFormat="1" applyFont="1" applyBorder="1" applyAlignment="1">
      <alignment vertical="center"/>
    </xf>
    <xf numFmtId="164" fontId="17" fillId="0" borderId="17" xfId="1" applyNumberFormat="1" applyFont="1" applyBorder="1"/>
    <xf numFmtId="164" fontId="17" fillId="0" borderId="18" xfId="1" applyNumberFormat="1" applyFont="1" applyBorder="1"/>
    <xf numFmtId="0" fontId="17" fillId="0" borderId="19" xfId="0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164" fontId="17" fillId="0" borderId="18" xfId="1" applyNumberFormat="1" applyFont="1" applyBorder="1" applyAlignment="1">
      <alignment vertical="center"/>
    </xf>
    <xf numFmtId="9" fontId="17" fillId="0" borderId="17" xfId="2" applyFont="1" applyBorder="1" applyAlignment="1">
      <alignment vertical="center"/>
    </xf>
    <xf numFmtId="9" fontId="17" fillId="0" borderId="18" xfId="2" applyFont="1" applyBorder="1" applyAlignment="1">
      <alignment vertical="center"/>
    </xf>
    <xf numFmtId="0" fontId="21" fillId="3" borderId="6" xfId="0" applyFont="1" applyFill="1" applyBorder="1" applyAlignment="1">
      <alignment vertical="center"/>
    </xf>
    <xf numFmtId="0" fontId="21" fillId="3" borderId="7" xfId="0" applyFont="1" applyFill="1" applyBorder="1" applyAlignment="1">
      <alignment vertical="center"/>
    </xf>
    <xf numFmtId="0" fontId="21" fillId="3" borderId="8" xfId="0" applyFont="1" applyFill="1" applyBorder="1" applyAlignment="1">
      <alignment vertical="center"/>
    </xf>
    <xf numFmtId="1" fontId="9" fillId="0" borderId="0" xfId="0" applyNumberFormat="1" applyFont="1"/>
    <xf numFmtId="1" fontId="0" fillId="0" borderId="0" xfId="1" applyNumberFormat="1" applyFont="1"/>
    <xf numFmtId="1" fontId="0" fillId="0" borderId="0" xfId="0" applyNumberFormat="1"/>
    <xf numFmtId="0" fontId="0" fillId="3" borderId="0" xfId="0" applyFill="1"/>
    <xf numFmtId="0" fontId="3" fillId="3" borderId="0" xfId="0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0" fontId="9" fillId="3" borderId="0" xfId="0" applyFont="1" applyFill="1"/>
    <xf numFmtId="164" fontId="0" fillId="3" borderId="0" xfId="1" applyNumberFormat="1" applyFont="1" applyFill="1" applyAlignment="1">
      <alignment horizontal="center"/>
    </xf>
    <xf numFmtId="164" fontId="0" fillId="3" borderId="0" xfId="1" applyNumberFormat="1" applyFont="1" applyFill="1"/>
    <xf numFmtId="164" fontId="9" fillId="3" borderId="0" xfId="1" applyNumberFormat="1" applyFont="1" applyFill="1"/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4" fillId="2" borderId="13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right" vertical="center"/>
    </xf>
    <xf numFmtId="0" fontId="26" fillId="3" borderId="8" xfId="0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5" fontId="21" fillId="3" borderId="1" xfId="0" applyNumberFormat="1" applyFont="1" applyFill="1" applyBorder="1" applyAlignment="1">
      <alignment horizontal="center" vertical="center"/>
    </xf>
    <xf numFmtId="15" fontId="21" fillId="3" borderId="2" xfId="0" applyNumberFormat="1" applyFont="1" applyFill="1" applyBorder="1" applyAlignment="1">
      <alignment horizontal="center" vertical="center"/>
    </xf>
    <xf numFmtId="15" fontId="21" fillId="3" borderId="3" xfId="0" applyNumberFormat="1" applyFont="1" applyFill="1" applyBorder="1" applyAlignment="1">
      <alignment horizontal="center" vertical="center"/>
    </xf>
    <xf numFmtId="15" fontId="21" fillId="3" borderId="6" xfId="0" applyNumberFormat="1" applyFont="1" applyFill="1" applyBorder="1" applyAlignment="1">
      <alignment horizontal="center" vertical="center"/>
    </xf>
    <xf numFmtId="15" fontId="21" fillId="3" borderId="7" xfId="0" applyNumberFormat="1" applyFont="1" applyFill="1" applyBorder="1" applyAlignment="1">
      <alignment horizontal="center" vertical="center"/>
    </xf>
    <xf numFmtId="15" fontId="21" fillId="3" borderId="8" xfId="0" applyNumberFormat="1" applyFont="1" applyFill="1" applyBorder="1" applyAlignment="1">
      <alignment horizontal="center" vertical="center"/>
    </xf>
    <xf numFmtId="164" fontId="21" fillId="3" borderId="1" xfId="1" applyNumberFormat="1" applyFont="1" applyFill="1" applyBorder="1" applyAlignment="1">
      <alignment horizontal="center" vertical="center"/>
    </xf>
    <xf numFmtId="164" fontId="21" fillId="3" borderId="2" xfId="1" applyNumberFormat="1" applyFont="1" applyFill="1" applyBorder="1" applyAlignment="1">
      <alignment horizontal="center" vertical="center"/>
    </xf>
    <xf numFmtId="164" fontId="21" fillId="3" borderId="3" xfId="1" applyNumberFormat="1" applyFont="1" applyFill="1" applyBorder="1" applyAlignment="1">
      <alignment horizontal="center" vertical="center"/>
    </xf>
    <xf numFmtId="164" fontId="21" fillId="3" borderId="6" xfId="1" applyNumberFormat="1" applyFont="1" applyFill="1" applyBorder="1" applyAlignment="1">
      <alignment horizontal="center" vertical="center"/>
    </xf>
    <xf numFmtId="164" fontId="21" fillId="3" borderId="7" xfId="1" applyNumberFormat="1" applyFont="1" applyFill="1" applyBorder="1" applyAlignment="1">
      <alignment horizontal="center" vertical="center"/>
    </xf>
    <xf numFmtId="164" fontId="21" fillId="3" borderId="8" xfId="1" applyNumberFormat="1" applyFont="1" applyFill="1" applyBorder="1" applyAlignment="1">
      <alignment horizontal="center" vertical="center"/>
    </xf>
    <xf numFmtId="9" fontId="21" fillId="3" borderId="1" xfId="2" applyFont="1" applyFill="1" applyBorder="1" applyAlignment="1">
      <alignment horizontal="center" vertical="center"/>
    </xf>
    <xf numFmtId="9" fontId="21" fillId="3" borderId="2" xfId="2" applyFont="1" applyFill="1" applyBorder="1" applyAlignment="1">
      <alignment horizontal="center" vertical="center"/>
    </xf>
    <xf numFmtId="9" fontId="21" fillId="3" borderId="3" xfId="2" applyFont="1" applyFill="1" applyBorder="1" applyAlignment="1">
      <alignment horizontal="center" vertical="center"/>
    </xf>
    <xf numFmtId="9" fontId="21" fillId="3" borderId="6" xfId="2" applyFont="1" applyFill="1" applyBorder="1" applyAlignment="1">
      <alignment horizontal="center" vertical="center"/>
    </xf>
    <xf numFmtId="9" fontId="21" fillId="3" borderId="7" xfId="2" applyFont="1" applyFill="1" applyBorder="1" applyAlignment="1">
      <alignment horizontal="center" vertical="center"/>
    </xf>
    <xf numFmtId="9" fontId="21" fillId="3" borderId="8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010263642417833E-2"/>
          <c:y val="3.9127104272192445E-2"/>
          <c:w val="0.9137208641830219"/>
          <c:h val="0.79698942559898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Chart!$AP$2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4925373134328358E-2"/>
                  <c:y val="3.55700947929022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16-4D81-AB7D-00FBA8A36422}"/>
                </c:ext>
              </c:extLst>
            </c:dLbl>
            <c:dLbl>
              <c:idx val="1"/>
              <c:layout>
                <c:manualLayout>
                  <c:x val="0"/>
                  <c:y val="7.11401895858043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16-4D81-AB7D-00FBA8A36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Chart!$AP$3:$AP$27</c:f>
              <c:numCache>
                <c:formatCode>_(* #,##0_);_(* \(#,##0\);_(* "-"??_);_(@_)</c:formatCode>
                <c:ptCount val="25"/>
                <c:pt idx="0">
                  <c:v>98.646726000000001</c:v>
                </c:pt>
                <c:pt idx="1">
                  <c:v>264.99633</c:v>
                </c:pt>
                <c:pt idx="2">
                  <c:v>106.808565</c:v>
                </c:pt>
                <c:pt idx="3">
                  <c:v>86.255638000000005</c:v>
                </c:pt>
                <c:pt idx="4">
                  <c:v>171.94256811</c:v>
                </c:pt>
                <c:pt idx="5">
                  <c:v>125.084532</c:v>
                </c:pt>
                <c:pt idx="6">
                  <c:v>377.49897199999998</c:v>
                </c:pt>
                <c:pt idx="7">
                  <c:v>141.103195</c:v>
                </c:pt>
                <c:pt idx="8">
                  <c:v>191.81141600000001</c:v>
                </c:pt>
                <c:pt idx="9">
                  <c:v>421.21817199999998</c:v>
                </c:pt>
                <c:pt idx="10">
                  <c:v>250.422256</c:v>
                </c:pt>
                <c:pt idx="11">
                  <c:v>29.928774000000001</c:v>
                </c:pt>
                <c:pt idx="12">
                  <c:v>337.84507500000001</c:v>
                </c:pt>
                <c:pt idx="13">
                  <c:v>357.81986000000001</c:v>
                </c:pt>
                <c:pt idx="14">
                  <c:v>227.862596</c:v>
                </c:pt>
                <c:pt idx="15">
                  <c:v>215.554</c:v>
                </c:pt>
                <c:pt idx="16">
                  <c:v>153.456951</c:v>
                </c:pt>
                <c:pt idx="17">
                  <c:v>120.93973099999999</c:v>
                </c:pt>
                <c:pt idx="18">
                  <c:v>478.24211564000001</c:v>
                </c:pt>
                <c:pt idx="19">
                  <c:v>104.99978299999999</c:v>
                </c:pt>
                <c:pt idx="20">
                  <c:v>128.72252</c:v>
                </c:pt>
                <c:pt idx="21">
                  <c:v>133.89414400000001</c:v>
                </c:pt>
                <c:pt idx="22">
                  <c:v>132.38512299999999</c:v>
                </c:pt>
                <c:pt idx="23">
                  <c:v>172.12056000000001</c:v>
                </c:pt>
                <c:pt idx="24">
                  <c:v>518.22254599999997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B-463A-9B15-8FA3E640FC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97947040"/>
        <c:axId val="1597955200"/>
      </c:barChart>
      <c:lineChart>
        <c:grouping val="standard"/>
        <c:varyColors val="0"/>
        <c:ser>
          <c:idx val="1"/>
          <c:order val="1"/>
          <c:tx>
            <c:strRef>
              <c:f>Chart!$AO$2</c:f>
              <c:strCache>
                <c:ptCount val="1"/>
                <c:pt idx="0">
                  <c:v>Acc Dec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996963998903126E-2"/>
                  <c:y val="-8.53416199517423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133711364437654E-2"/>
                      <c:h val="5.33019270869072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D16-4D81-AB7D-00FBA8A36422}"/>
                </c:ext>
              </c:extLst>
            </c:dLbl>
            <c:dLbl>
              <c:idx val="1"/>
              <c:layout>
                <c:manualLayout>
                  <c:x val="-2.0345222705370782E-2"/>
                  <c:y val="-6.93350772949363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16-4D81-AB7D-00FBA8A36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Chart!$AO$3:$AO$27</c:f>
              <c:numCache>
                <c:formatCode>_(* #,##0_);_(* \(#,##0\);_(* "-"??_);_(@_)</c:formatCode>
                <c:ptCount val="25"/>
                <c:pt idx="0">
                  <c:v>98.646726000000001</c:v>
                </c:pt>
                <c:pt idx="1">
                  <c:v>363.643056</c:v>
                </c:pt>
                <c:pt idx="2">
                  <c:v>470.45162099999999</c:v>
                </c:pt>
                <c:pt idx="3">
                  <c:v>556.70725900000002</c:v>
                </c:pt>
                <c:pt idx="4">
                  <c:v>728.64982711000005</c:v>
                </c:pt>
                <c:pt idx="5">
                  <c:v>853.73435911000001</c:v>
                </c:pt>
                <c:pt idx="6">
                  <c:v>1231.2333311100001</c:v>
                </c:pt>
                <c:pt idx="7">
                  <c:v>1372.33652611</c:v>
                </c:pt>
                <c:pt idx="8">
                  <c:v>1564.14794211</c:v>
                </c:pt>
                <c:pt idx="9">
                  <c:v>1985.3661141100001</c:v>
                </c:pt>
                <c:pt idx="10">
                  <c:v>2235.78837011</c:v>
                </c:pt>
                <c:pt idx="11">
                  <c:v>2265.7171441099999</c:v>
                </c:pt>
                <c:pt idx="12">
                  <c:v>2603.5622191100001</c:v>
                </c:pt>
                <c:pt idx="13">
                  <c:v>2961.3820791100002</c:v>
                </c:pt>
                <c:pt idx="14">
                  <c:v>3189.2446751100001</c:v>
                </c:pt>
                <c:pt idx="15">
                  <c:v>3404.7986751100002</c:v>
                </c:pt>
                <c:pt idx="16">
                  <c:v>3558.2556261100003</c:v>
                </c:pt>
                <c:pt idx="17">
                  <c:v>3679.1953571100003</c:v>
                </c:pt>
                <c:pt idx="18">
                  <c:v>4157.4374727499999</c:v>
                </c:pt>
                <c:pt idx="19">
                  <c:v>4262.4372557500001</c:v>
                </c:pt>
                <c:pt idx="20">
                  <c:v>4391.1597757500003</c:v>
                </c:pt>
                <c:pt idx="21">
                  <c:v>4525.0539197500002</c:v>
                </c:pt>
                <c:pt idx="22">
                  <c:v>4657.4390427500002</c:v>
                </c:pt>
                <c:pt idx="23">
                  <c:v>4829.5596027500005</c:v>
                </c:pt>
                <c:pt idx="24">
                  <c:v>5347.7821487500005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B-463A-9B15-8FA3E640FC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7947040"/>
        <c:axId val="1597955200"/>
      </c:lineChart>
      <c:lineChart>
        <c:grouping val="percentStacked"/>
        <c:varyColors val="0"/>
        <c:ser>
          <c:idx val="0"/>
          <c:order val="0"/>
          <c:tx>
            <c:strRef>
              <c:f>Chart!$AN$2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D16-4D81-AB7D-00FBA8A364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Chart!$AN$3:$AN$27</c:f>
              <c:numCache>
                <c:formatCode>_(* #,##0_);_(* \(#,##0\);_(* "-"??_);_(@_)</c:formatCode>
                <c:ptCount val="25"/>
                <c:pt idx="0">
                  <c:v>6605.5799399999996</c:v>
                </c:pt>
                <c:pt idx="1">
                  <c:v>6605.5799399999996</c:v>
                </c:pt>
                <c:pt idx="2">
                  <c:v>6605.5799399999996</c:v>
                </c:pt>
                <c:pt idx="3">
                  <c:v>6605.5799399999996</c:v>
                </c:pt>
                <c:pt idx="4">
                  <c:v>6605.5799399999996</c:v>
                </c:pt>
                <c:pt idx="5">
                  <c:v>6605.5799399999996</c:v>
                </c:pt>
                <c:pt idx="6">
                  <c:v>6605.5799399999996</c:v>
                </c:pt>
                <c:pt idx="7">
                  <c:v>6605.5799399999996</c:v>
                </c:pt>
                <c:pt idx="8">
                  <c:v>6605.5799399999996</c:v>
                </c:pt>
                <c:pt idx="9">
                  <c:v>6605.5799399999996</c:v>
                </c:pt>
                <c:pt idx="10">
                  <c:v>6605.5799399999996</c:v>
                </c:pt>
                <c:pt idx="11">
                  <c:v>6605.5799399999996</c:v>
                </c:pt>
                <c:pt idx="12">
                  <c:v>6605.5799399999996</c:v>
                </c:pt>
                <c:pt idx="13">
                  <c:v>6605.5799399999996</c:v>
                </c:pt>
                <c:pt idx="14">
                  <c:v>6605.5799399999996</c:v>
                </c:pt>
                <c:pt idx="15">
                  <c:v>6605.5799399999996</c:v>
                </c:pt>
                <c:pt idx="16">
                  <c:v>6605.5799399999996</c:v>
                </c:pt>
                <c:pt idx="17">
                  <c:v>6605.5799399999996</c:v>
                </c:pt>
                <c:pt idx="18">
                  <c:v>6605.5799399999996</c:v>
                </c:pt>
                <c:pt idx="19">
                  <c:v>6605.5799399999996</c:v>
                </c:pt>
                <c:pt idx="20">
                  <c:v>6605.5799399999996</c:v>
                </c:pt>
                <c:pt idx="21">
                  <c:v>6605.5799399999996</c:v>
                </c:pt>
                <c:pt idx="22">
                  <c:v>6605.5799399999996</c:v>
                </c:pt>
                <c:pt idx="23">
                  <c:v>6605.5799399999996</c:v>
                </c:pt>
                <c:pt idx="24">
                  <c:v>6605.5799399999996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B-463A-9B15-8FA3E640FC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030752"/>
        <c:axId val="145034592"/>
      </c:lineChart>
      <c:catAx>
        <c:axId val="1597947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55200"/>
        <c:crosses val="autoZero"/>
        <c:auto val="1"/>
        <c:lblAlgn val="ctr"/>
        <c:lblOffset val="100"/>
        <c:noMultiLvlLbl val="0"/>
      </c:catAx>
      <c:valAx>
        <c:axId val="15979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947040"/>
        <c:crosses val="autoZero"/>
        <c:crossBetween val="between"/>
      </c:valAx>
      <c:valAx>
        <c:axId val="1450345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0752"/>
        <c:crosses val="max"/>
        <c:crossBetween val="between"/>
      </c:valAx>
      <c:catAx>
        <c:axId val="145030752"/>
        <c:scaling>
          <c:orientation val="minMax"/>
        </c:scaling>
        <c:delete val="1"/>
        <c:axPos val="b"/>
        <c:majorTickMark val="out"/>
        <c:minorTickMark val="none"/>
        <c:tickLblPos val="nextTo"/>
        <c:crossAx val="145034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Apendix!$E$216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Apendix!$E$217:$E$229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8F1-489A-A33F-DF5552D39B7F}"/>
            </c:ext>
          </c:extLst>
        </c:ser>
        <c:ser>
          <c:idx val="1"/>
          <c:order val="1"/>
          <c:tx>
            <c:strRef>
              <c:f>Apendix!$F$216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Apendix!$F$217:$F$229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8F1-489A-A33F-DF5552D39B7F}"/>
            </c:ext>
          </c:extLst>
        </c:ser>
        <c:ser>
          <c:idx val="2"/>
          <c:order val="2"/>
          <c:tx>
            <c:strRef>
              <c:f>Apendix!$G$216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Apendix!$G$217:$G$229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8F1-489A-A33F-DF5552D39B7F}"/>
            </c:ext>
          </c:extLst>
        </c:ser>
        <c:ser>
          <c:idx val="3"/>
          <c:order val="3"/>
          <c:tx>
            <c:strRef>
              <c:f>Apendix!$H$216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Apendix!$H$217:$H$229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8F1-489A-A33F-DF5552D39B7F}"/>
            </c:ext>
          </c:extLst>
        </c:ser>
        <c:ser>
          <c:idx val="4"/>
          <c:order val="4"/>
          <c:tx>
            <c:strRef>
              <c:f>Apendix!$I$216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Apendix!$I$217:$I$229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48F1-489A-A33F-DF5552D39B7F}"/>
            </c:ext>
          </c:extLst>
        </c:ser>
        <c:ser>
          <c:idx val="5"/>
          <c:order val="5"/>
          <c:tx>
            <c:strRef>
              <c:f>Apendix!$J$216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Apendix!$J$217:$J$229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48F1-489A-A33F-DF5552D39B7F}"/>
            </c:ext>
          </c:extLst>
        </c:ser>
        <c:ser>
          <c:idx val="6"/>
          <c:order val="6"/>
          <c:tx>
            <c:strRef>
              <c:f>Apendix!$K$216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Apendix!$K$217:$K$229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48F1-489A-A33F-DF5552D39B7F}"/>
            </c:ext>
          </c:extLst>
        </c:ser>
        <c:ser>
          <c:idx val="7"/>
          <c:order val="7"/>
          <c:tx>
            <c:strRef>
              <c:f>Apendix!$L$216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Apendix!$L$217:$L$229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7-48F1-489A-A33F-DF5552D39B7F}"/>
            </c:ext>
          </c:extLst>
        </c:ser>
        <c:ser>
          <c:idx val="8"/>
          <c:order val="8"/>
          <c:tx>
            <c:strRef>
              <c:f>Apendix!$M$216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Apendix!$M$217:$M$229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8-48F1-489A-A33F-DF5552D39B7F}"/>
            </c:ext>
          </c:extLst>
        </c:ser>
        <c:ser>
          <c:idx val="9"/>
          <c:order val="9"/>
          <c:tx>
            <c:strRef>
              <c:f>Apendix!$N$216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Apendix!$N$217:$N$229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9-48F1-489A-A33F-DF5552D39B7F}"/>
            </c:ext>
          </c:extLst>
        </c:ser>
        <c:ser>
          <c:idx val="10"/>
          <c:order val="10"/>
          <c:tx>
            <c:strRef>
              <c:f>Apendix!$O$216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Apendix!$O$217:$O$229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A-48F1-489A-A33F-DF5552D39B7F}"/>
            </c:ext>
          </c:extLst>
        </c:ser>
        <c:ser>
          <c:idx val="11"/>
          <c:order val="11"/>
          <c:tx>
            <c:strRef>
              <c:f>Apendix!$P$216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Apendix!$P$217:$P$229</c:f>
              <c:numCache>
                <c:formatCode>General</c:formatCode>
                <c:ptCount val="1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Apendix!$D$217:$D$229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B-48F1-489A-A33F-DF5552D39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475471"/>
        <c:axId val="1836477391"/>
      </c:barChart>
      <c:catAx>
        <c:axId val="183647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77391"/>
        <c:crosses val="autoZero"/>
        <c:auto val="1"/>
        <c:lblAlgn val="ctr"/>
        <c:lblOffset val="100"/>
        <c:noMultiLvlLbl val="0"/>
      </c:catAx>
      <c:valAx>
        <c:axId val="183647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7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Apendix!$E$232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Apendix!$E$233:$E$235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Apendix!$D$233:$D$235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6D1-48E1-B3C1-38715C2AC997}"/>
            </c:ext>
          </c:extLst>
        </c:ser>
        <c:ser>
          <c:idx val="1"/>
          <c:order val="1"/>
          <c:tx>
            <c:strRef>
              <c:f>Apendix!$F$232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Apendix!$F$233:$F$235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Apendix!$D$233:$D$235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6D1-48E1-B3C1-38715C2AC997}"/>
            </c:ext>
          </c:extLst>
        </c:ser>
        <c:ser>
          <c:idx val="2"/>
          <c:order val="2"/>
          <c:tx>
            <c:strRef>
              <c:f>Apendix!$G$232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Apendix!$G$233:$G$235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Apendix!$D$233:$D$235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6D1-48E1-B3C1-38715C2AC997}"/>
            </c:ext>
          </c:extLst>
        </c:ser>
        <c:ser>
          <c:idx val="3"/>
          <c:order val="3"/>
          <c:tx>
            <c:strRef>
              <c:f>Apendix!$H$232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Apendix!$H$233:$H$235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Apendix!$D$233:$D$235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76D1-48E1-B3C1-38715C2AC997}"/>
            </c:ext>
          </c:extLst>
        </c:ser>
        <c:ser>
          <c:idx val="4"/>
          <c:order val="4"/>
          <c:tx>
            <c:strRef>
              <c:f>Apendix!$I$232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Apendix!$I$233:$I$235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Apendix!$D$233:$D$235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76D1-48E1-B3C1-38715C2AC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209599"/>
        <c:axId val="634221119"/>
      </c:barChart>
      <c:catAx>
        <c:axId val="63420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21119"/>
        <c:crosses val="autoZero"/>
        <c:auto val="1"/>
        <c:lblAlgn val="ctr"/>
        <c:lblOffset val="100"/>
        <c:noMultiLvlLbl val="0"/>
      </c:catAx>
      <c:valAx>
        <c:axId val="63422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0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36285</xdr:colOff>
      <xdr:row>10</xdr:row>
      <xdr:rowOff>167408</xdr:rowOff>
    </xdr:from>
    <xdr:to>
      <xdr:col>17</xdr:col>
      <xdr:colOff>493485</xdr:colOff>
      <xdr:row>26</xdr:row>
      <xdr:rowOff>27214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B9F5D91-08A8-4059-8BC5-AC3D33996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545546</xdr:colOff>
      <xdr:row>211</xdr:row>
      <xdr:rowOff>43291</xdr:rowOff>
    </xdr:from>
    <xdr:to>
      <xdr:col>22</xdr:col>
      <xdr:colOff>372936</xdr:colOff>
      <xdr:row>229</xdr:row>
      <xdr:rowOff>131032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0B963-6BB5-47D1-BE28-6571DC4BB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1478644</xdr:colOff>
      <xdr:row>229</xdr:row>
      <xdr:rowOff>140304</xdr:rowOff>
    </xdr:from>
    <xdr:to>
      <xdr:col>15</xdr:col>
      <xdr:colOff>315485</xdr:colOff>
      <xdr:row>243</xdr:row>
      <xdr:rowOff>141109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88D12-2CCC-4BE1-A9E1-7B823CDFA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7ACB-8A79-4F40-9786-578E22BC0684}">
  <dimension ref="A1:AB27"/>
  <sheetViews>
    <sheetView showGridLines="0" tabSelected="1" zoomScale="70" zoomScaleNormal="70" workbookViewId="0">
      <selection activeCell="P7" sqref="P7:R8"/>
    </sheetView>
  </sheetViews>
  <sheetFormatPr defaultRowHeight="14.5" x14ac:dyDescent="0.35"/>
  <cols>
    <col min="1" max="1" width="2.1796875" customWidth="1"/>
    <col min="7" max="7" width="11.90625" customWidth="1"/>
    <col min="12" max="12" width="6.90625" customWidth="1"/>
    <col min="14" max="14" width="7.90625" customWidth="1"/>
    <col min="20" max="20" width="12.453125" customWidth="1"/>
    <col min="21" max="21" width="8.6328125" customWidth="1"/>
  </cols>
  <sheetData>
    <row r="1" spans="1:28" ht="15" customHeight="1" x14ac:dyDescent="0.35">
      <c r="A1" s="140" t="s">
        <v>25</v>
      </c>
      <c r="B1" s="141"/>
      <c r="C1" s="141"/>
      <c r="D1" s="141"/>
      <c r="E1" s="141"/>
      <c r="F1" s="141"/>
      <c r="G1" s="141"/>
      <c r="H1" s="142"/>
      <c r="I1" s="146" t="s">
        <v>52</v>
      </c>
      <c r="J1" s="147"/>
      <c r="K1" s="147"/>
      <c r="L1" s="147"/>
      <c r="M1" s="147"/>
      <c r="N1" s="147"/>
      <c r="O1" s="148"/>
      <c r="P1" s="146">
        <v>2025</v>
      </c>
      <c r="Q1" s="147"/>
      <c r="R1" s="148"/>
    </row>
    <row r="2" spans="1:28" ht="15" customHeight="1" thickBot="1" x14ac:dyDescent="0.4">
      <c r="A2" s="143"/>
      <c r="B2" s="144"/>
      <c r="C2" s="144"/>
      <c r="D2" s="144"/>
      <c r="E2" s="144"/>
      <c r="F2" s="144"/>
      <c r="G2" s="144"/>
      <c r="H2" s="145"/>
      <c r="I2" s="149"/>
      <c r="J2" s="150"/>
      <c r="K2" s="150"/>
      <c r="L2" s="150"/>
      <c r="M2" s="150"/>
      <c r="N2" s="150"/>
      <c r="O2" s="151"/>
      <c r="P2" s="152"/>
      <c r="Q2" s="153"/>
      <c r="R2" s="154"/>
    </row>
    <row r="3" spans="1:28" ht="15" customHeight="1" x14ac:dyDescent="0.35">
      <c r="A3" s="143"/>
      <c r="B3" s="144"/>
      <c r="C3" s="144"/>
      <c r="D3" s="144"/>
      <c r="E3" s="144"/>
      <c r="F3" s="144"/>
      <c r="G3" s="144"/>
      <c r="H3" s="145"/>
      <c r="I3" s="149"/>
      <c r="J3" s="150"/>
      <c r="K3" s="150"/>
      <c r="L3" s="150"/>
      <c r="M3" s="150"/>
      <c r="N3" s="150"/>
      <c r="O3" s="151"/>
      <c r="P3" s="155" t="s">
        <v>13</v>
      </c>
      <c r="Q3" s="156"/>
      <c r="R3" s="157"/>
    </row>
    <row r="4" spans="1:28" s="1" customFormat="1" ht="15" customHeight="1" thickBot="1" x14ac:dyDescent="0.65">
      <c r="A4" s="143"/>
      <c r="B4" s="144"/>
      <c r="C4" s="144"/>
      <c r="D4" s="144"/>
      <c r="E4" s="144"/>
      <c r="F4" s="144"/>
      <c r="G4" s="144"/>
      <c r="H4" s="145"/>
      <c r="I4" s="149"/>
      <c r="J4" s="150"/>
      <c r="K4" s="150"/>
      <c r="L4" s="150"/>
      <c r="M4" s="150"/>
      <c r="N4" s="150"/>
      <c r="O4" s="151"/>
      <c r="P4" s="158"/>
      <c r="Q4" s="159"/>
      <c r="R4" s="160"/>
      <c r="S4"/>
      <c r="T4"/>
      <c r="U4"/>
      <c r="V4"/>
      <c r="W4"/>
      <c r="X4"/>
      <c r="Y4"/>
      <c r="Z4"/>
      <c r="AB4" s="2" t="s">
        <v>1</v>
      </c>
    </row>
    <row r="5" spans="1:28" s="101" customFormat="1" ht="25" customHeight="1" x14ac:dyDescent="0.45">
      <c r="A5" s="163" t="s">
        <v>53</v>
      </c>
      <c r="B5" s="164"/>
      <c r="C5" s="164"/>
      <c r="D5" s="164"/>
      <c r="E5" s="165"/>
      <c r="F5" s="163" t="s">
        <v>54</v>
      </c>
      <c r="G5" s="164"/>
      <c r="H5" s="164"/>
      <c r="I5" s="164"/>
      <c r="J5" s="165"/>
      <c r="K5" s="163" t="s">
        <v>55</v>
      </c>
      <c r="L5" s="164"/>
      <c r="M5" s="164"/>
      <c r="N5" s="164"/>
      <c r="O5" s="165"/>
      <c r="P5" s="163" t="s">
        <v>56</v>
      </c>
      <c r="Q5" s="164"/>
      <c r="R5" s="165"/>
      <c r="S5"/>
      <c r="T5"/>
      <c r="U5"/>
      <c r="V5"/>
      <c r="W5"/>
      <c r="X5"/>
      <c r="Y5"/>
      <c r="Z5"/>
    </row>
    <row r="6" spans="1:28" s="101" customFormat="1" ht="25" customHeight="1" thickBot="1" x14ac:dyDescent="0.5">
      <c r="A6" s="166"/>
      <c r="B6" s="167"/>
      <c r="C6" s="167"/>
      <c r="D6" s="167"/>
      <c r="E6" s="168"/>
      <c r="F6" s="127"/>
      <c r="G6" s="128"/>
      <c r="H6" s="128"/>
      <c r="I6" s="128"/>
      <c r="J6" s="129"/>
      <c r="K6" s="127"/>
      <c r="L6" s="128"/>
      <c r="M6" s="128"/>
      <c r="N6" s="161" t="s">
        <v>35</v>
      </c>
      <c r="O6" s="162"/>
      <c r="P6" s="166"/>
      <c r="Q6" s="167"/>
      <c r="R6" s="168"/>
      <c r="S6"/>
      <c r="T6"/>
      <c r="U6"/>
      <c r="V6"/>
      <c r="W6"/>
      <c r="X6"/>
      <c r="Y6"/>
      <c r="Z6"/>
    </row>
    <row r="7" spans="1:28" s="101" customFormat="1" ht="25" customHeight="1" x14ac:dyDescent="0.45">
      <c r="A7" s="175">
        <v>46022</v>
      </c>
      <c r="B7" s="176"/>
      <c r="C7" s="176"/>
      <c r="D7" s="176"/>
      <c r="E7" s="177"/>
      <c r="F7" s="181" cm="1">
        <f t="array" ref="F7">_xlfn.IFS(P3="January",Apendix!G77,P3="February",Apendix!H77,P3="march",Apendix!I77,P3="April",Apendix!J77,P3="May",Apendix!K77,P3="June",Apendix!L77,P3="July",Apendix!M77,P3="August",Apendix!N77,P3="September",Apendix!O77,P3="October",Apendix!P77,P3="November",Apendix!Q77,P3="December",Apendix!R77)</f>
        <v>6605.5799399999996</v>
      </c>
      <c r="G7" s="182"/>
      <c r="H7" s="182"/>
      <c r="I7" s="182"/>
      <c r="J7" s="183"/>
      <c r="K7" s="181" cm="1">
        <f t="array" ref="K7">_xlfn.IFS(P3="January",Apendix!G78,P3="February",Apendix!H78,P3="march",Apendix!I78,P3="April",Apendix!J78,P3="May",Apendix!K78,P3="June",Apendix!L78,P3="July",Apendix!M78,P3="August",Apendix!N78,P3="September",Apendix!O78,P3="October",Apendix!P78,P3="November",Apendix!Q78,P3="December",Apendix!R78)</f>
        <v>5347.7821487500005</v>
      </c>
      <c r="L7" s="182"/>
      <c r="M7" s="182"/>
      <c r="N7" s="182"/>
      <c r="O7" s="183"/>
      <c r="P7" s="187">
        <f>+K7/F7</f>
        <v>0.80958556210433219</v>
      </c>
      <c r="Q7" s="188"/>
      <c r="R7" s="189"/>
      <c r="S7"/>
      <c r="T7"/>
      <c r="U7"/>
      <c r="V7"/>
      <c r="W7"/>
      <c r="X7"/>
      <c r="Y7"/>
      <c r="Z7"/>
    </row>
    <row r="8" spans="1:28" s="101" customFormat="1" ht="25" customHeight="1" thickBot="1" x14ac:dyDescent="0.5">
      <c r="A8" s="178"/>
      <c r="B8" s="179"/>
      <c r="C8" s="179"/>
      <c r="D8" s="179"/>
      <c r="E8" s="180"/>
      <c r="F8" s="184"/>
      <c r="G8" s="185"/>
      <c r="H8" s="185"/>
      <c r="I8" s="185"/>
      <c r="J8" s="186"/>
      <c r="K8" s="184"/>
      <c r="L8" s="185"/>
      <c r="M8" s="185"/>
      <c r="N8" s="185"/>
      <c r="O8" s="186"/>
      <c r="P8" s="190"/>
      <c r="Q8" s="191"/>
      <c r="R8" s="192"/>
      <c r="S8"/>
      <c r="T8"/>
      <c r="U8"/>
      <c r="V8"/>
      <c r="W8"/>
      <c r="X8"/>
      <c r="Y8"/>
      <c r="Z8"/>
    </row>
    <row r="9" spans="1:28" ht="14.4" customHeight="1" x14ac:dyDescent="0.35">
      <c r="A9" s="173" t="s">
        <v>26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70"/>
    </row>
    <row r="10" spans="1:28" ht="14.4" customHeight="1" thickBot="1" x14ac:dyDescent="0.4">
      <c r="A10" s="174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2"/>
    </row>
    <row r="11" spans="1:28" ht="18.5" x14ac:dyDescent="0.35">
      <c r="A11" s="105"/>
      <c r="B11" s="106"/>
      <c r="C11" s="106"/>
      <c r="D11" s="106"/>
      <c r="E11" s="106"/>
      <c r="F11" s="106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70"/>
    </row>
    <row r="12" spans="1:28" ht="18.5" x14ac:dyDescent="0.35">
      <c r="A12" s="107"/>
      <c r="B12" s="104"/>
      <c r="C12" s="104"/>
      <c r="D12" s="104"/>
      <c r="E12" s="104"/>
      <c r="F12" s="104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2"/>
    </row>
    <row r="13" spans="1:28" ht="18.5" x14ac:dyDescent="0.35">
      <c r="A13" s="107"/>
      <c r="B13" s="104"/>
      <c r="C13" s="104"/>
      <c r="D13" s="104"/>
      <c r="E13" s="104"/>
      <c r="F13" s="104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2"/>
    </row>
    <row r="14" spans="1:28" ht="18.5" x14ac:dyDescent="0.35">
      <c r="A14" s="107"/>
      <c r="B14" s="104"/>
      <c r="C14" s="104"/>
      <c r="D14" s="104"/>
      <c r="E14" s="104"/>
      <c r="F14" s="104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2"/>
    </row>
    <row r="15" spans="1:28" ht="18.5" x14ac:dyDescent="0.35">
      <c r="A15" s="107"/>
      <c r="B15" s="104"/>
      <c r="C15" s="104"/>
      <c r="D15" s="104"/>
      <c r="E15" s="104"/>
      <c r="F15" s="104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2"/>
    </row>
    <row r="16" spans="1:28" ht="18.5" x14ac:dyDescent="0.35">
      <c r="A16" s="107"/>
      <c r="B16" s="104"/>
      <c r="C16" s="104"/>
      <c r="D16" s="104"/>
      <c r="E16" s="104"/>
      <c r="F16" s="104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2"/>
    </row>
    <row r="17" spans="1:18" ht="18.5" x14ac:dyDescent="0.35">
      <c r="A17" s="107"/>
      <c r="B17" s="104"/>
      <c r="C17" s="104"/>
      <c r="D17" s="104"/>
      <c r="E17" s="104"/>
      <c r="F17" s="104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2"/>
    </row>
    <row r="18" spans="1:18" ht="18.5" x14ac:dyDescent="0.35">
      <c r="A18" s="107"/>
      <c r="B18" s="104"/>
      <c r="C18" s="104"/>
      <c r="D18" s="104"/>
      <c r="E18" s="104"/>
      <c r="F18" s="104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2"/>
    </row>
    <row r="19" spans="1:18" ht="18.5" x14ac:dyDescent="0.35">
      <c r="A19" s="108"/>
      <c r="C19" s="104"/>
      <c r="D19" s="104"/>
      <c r="E19" s="104"/>
      <c r="F19" s="104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2"/>
    </row>
    <row r="20" spans="1:18" ht="18.5" x14ac:dyDescent="0.35">
      <c r="A20" s="107"/>
      <c r="B20" s="104"/>
      <c r="C20" s="104"/>
      <c r="D20" s="104"/>
      <c r="E20" s="104"/>
      <c r="F20" s="104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2"/>
    </row>
    <row r="21" spans="1:18" ht="18.5" x14ac:dyDescent="0.35">
      <c r="A21" s="107"/>
      <c r="B21" s="104"/>
      <c r="C21" s="104"/>
      <c r="D21" s="104"/>
      <c r="E21" s="104"/>
      <c r="F21" s="104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2"/>
    </row>
    <row r="22" spans="1:18" ht="18.5" x14ac:dyDescent="0.35">
      <c r="A22" s="107"/>
      <c r="B22" s="104"/>
      <c r="C22" s="104"/>
      <c r="D22" s="104"/>
      <c r="E22" s="104"/>
      <c r="F22" s="104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2"/>
    </row>
    <row r="23" spans="1:18" ht="18.5" x14ac:dyDescent="0.35">
      <c r="A23" s="107"/>
      <c r="B23" s="104"/>
      <c r="C23" s="104"/>
      <c r="D23" s="104"/>
      <c r="E23" s="104"/>
      <c r="F23" s="104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2"/>
    </row>
    <row r="24" spans="1:18" ht="18.5" x14ac:dyDescent="0.35">
      <c r="A24" s="107"/>
      <c r="B24" s="104"/>
      <c r="C24" s="104"/>
      <c r="D24" s="104"/>
      <c r="E24" s="104"/>
      <c r="F24" s="104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2"/>
    </row>
    <row r="25" spans="1:18" ht="18.5" x14ac:dyDescent="0.35">
      <c r="A25" s="107"/>
      <c r="B25" s="104"/>
      <c r="C25" s="104"/>
      <c r="D25" s="104"/>
      <c r="E25" s="104"/>
      <c r="F25" s="104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2"/>
    </row>
    <row r="26" spans="1:18" ht="18.5" x14ac:dyDescent="0.35">
      <c r="A26" s="107"/>
      <c r="B26" s="104"/>
      <c r="C26" s="104"/>
      <c r="D26" s="104"/>
      <c r="E26" s="104"/>
      <c r="F26" s="104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2"/>
    </row>
    <row r="27" spans="1:18" ht="15" thickBot="1" x14ac:dyDescent="0.4">
      <c r="A27" s="109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1"/>
    </row>
  </sheetData>
  <mergeCells count="15">
    <mergeCell ref="G11:R20"/>
    <mergeCell ref="A9:R10"/>
    <mergeCell ref="A7:E8"/>
    <mergeCell ref="K7:O8"/>
    <mergeCell ref="F5:J5"/>
    <mergeCell ref="K5:O5"/>
    <mergeCell ref="P5:R6"/>
    <mergeCell ref="F7:J8"/>
    <mergeCell ref="P7:R8"/>
    <mergeCell ref="A1:H4"/>
    <mergeCell ref="I1:O4"/>
    <mergeCell ref="P1:R2"/>
    <mergeCell ref="P3:R4"/>
    <mergeCell ref="N6:O6"/>
    <mergeCell ref="A5:E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C99BBC-95B1-4B0A-B18E-138B4A588939}">
          <x14:formula1>
            <xm:f>Sheet4!$C$3:$C$14</xm:f>
          </x14:formula1>
          <xm:sqref>P3:R4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F58B-AC8D-4754-8C94-877F6EF3A065}">
  <dimension ref="A1"/>
  <sheetViews>
    <sheetView showGridLines="0" workbookViewId="0">
      <selection activeCell="I10" sqref="I10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01CE-C04C-4822-9EB8-66AA5320E8FB}">
  <sheetPr>
    <pageSetUpPr fitToPage="1"/>
  </sheetPr>
  <dimension ref="A1:W338"/>
  <sheetViews>
    <sheetView showGridLines="0" topLeftCell="C1" zoomScale="85" zoomScaleNormal="85" zoomScaleSheetLayoutView="100" workbookViewId="0">
      <selection activeCell="G78" sqref="G78"/>
    </sheetView>
  </sheetViews>
  <sheetFormatPr defaultRowHeight="14.5" outlineLevelCol="1" x14ac:dyDescent="0.35"/>
  <cols>
    <col min="1" max="1" width="2.1796875" customWidth="1" outlineLevel="1"/>
    <col min="2" max="2" width="12.08984375" style="29" customWidth="1" outlineLevel="1"/>
    <col min="3" max="5" width="10.6328125" customWidth="1" outlineLevel="1"/>
    <col min="6" max="6" width="12.1796875" style="29" customWidth="1" outlineLevel="1"/>
    <col min="7" max="18" width="10.6328125" customWidth="1" outlineLevel="1"/>
    <col min="19" max="20" width="8.81640625" customWidth="1" outlineLevel="1"/>
  </cols>
  <sheetData>
    <row r="1" spans="1:23" ht="15" customHeight="1" x14ac:dyDescent="0.35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5"/>
    </row>
    <row r="2" spans="1:23" ht="15" customHeight="1" x14ac:dyDescent="0.35">
      <c r="A2" s="196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97"/>
    </row>
    <row r="3" spans="1:23" ht="15" customHeight="1" x14ac:dyDescent="0.35">
      <c r="A3" s="196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97"/>
    </row>
    <row r="4" spans="1:23" s="1" customFormat="1" ht="15" customHeight="1" thickBot="1" x14ac:dyDescent="0.65">
      <c r="A4" s="198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200"/>
      <c r="U4"/>
      <c r="V4"/>
      <c r="W4"/>
    </row>
    <row r="5" spans="1:23" s="7" customFormat="1" ht="18" customHeight="1" x14ac:dyDescent="0.35">
      <c r="A5" s="3"/>
      <c r="B5" s="4"/>
      <c r="C5" s="5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V5" s="8"/>
      <c r="W5" s="8"/>
    </row>
    <row r="6" spans="1:23" s="8" customFormat="1" ht="14.4" customHeight="1" x14ac:dyDescent="0.35">
      <c r="A6" s="9"/>
      <c r="B6" s="10"/>
      <c r="C6" s="11"/>
      <c r="D6" s="11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</row>
    <row r="7" spans="1:23" s="8" customFormat="1" ht="14.4" customHeight="1" x14ac:dyDescent="0.35">
      <c r="A7" s="14"/>
      <c r="B7"/>
      <c r="C7" s="15" t="s">
        <v>2</v>
      </c>
      <c r="D7" s="15" t="s">
        <v>3</v>
      </c>
      <c r="E7" s="15" t="s">
        <v>4</v>
      </c>
      <c r="F7" s="15" t="s">
        <v>5</v>
      </c>
      <c r="G7" s="15" t="s">
        <v>6</v>
      </c>
      <c r="H7" s="15" t="s">
        <v>7</v>
      </c>
      <c r="I7" s="15" t="s">
        <v>8</v>
      </c>
      <c r="J7" s="16" t="s">
        <v>9</v>
      </c>
      <c r="K7" s="16" t="s">
        <v>10</v>
      </c>
      <c r="L7" s="15" t="s">
        <v>11</v>
      </c>
      <c r="M7" s="15" t="s">
        <v>12</v>
      </c>
      <c r="N7" s="15" t="s">
        <v>13</v>
      </c>
      <c r="O7" s="15" t="s">
        <v>14</v>
      </c>
      <c r="P7"/>
      <c r="Q7"/>
      <c r="R7"/>
      <c r="S7"/>
      <c r="T7" s="13"/>
    </row>
    <row r="8" spans="1:23" s="8" customFormat="1" ht="16" x14ac:dyDescent="0.4">
      <c r="A8" s="17"/>
      <c r="B8" t="s">
        <v>15</v>
      </c>
      <c r="C8" s="18">
        <v>5840.8360960000009</v>
      </c>
      <c r="D8" s="18">
        <v>6384.403217000001</v>
      </c>
      <c r="E8" s="18">
        <v>6581.2263720000001</v>
      </c>
      <c r="F8" s="18">
        <v>6839.8031820000006</v>
      </c>
      <c r="G8" s="18">
        <v>6597.9354540000004</v>
      </c>
      <c r="H8" s="18">
        <v>6706.5427010000003</v>
      </c>
      <c r="I8" s="18">
        <v>7295.3604329999998</v>
      </c>
      <c r="J8" s="18">
        <v>7569.0930229999994</v>
      </c>
      <c r="K8" s="18">
        <v>7763.1358289999998</v>
      </c>
      <c r="L8" s="18">
        <v>8374.952612000001</v>
      </c>
      <c r="M8" s="18">
        <v>8441.1287429999993</v>
      </c>
      <c r="N8" s="18">
        <v>6605.5799399999996</v>
      </c>
      <c r="O8" s="19">
        <f>SUM(C8:N8)</f>
        <v>84999.997602000003</v>
      </c>
      <c r="P8"/>
      <c r="Q8"/>
      <c r="R8"/>
      <c r="S8"/>
      <c r="T8" s="20"/>
    </row>
    <row r="9" spans="1:23" s="8" customFormat="1" ht="16" x14ac:dyDescent="0.4">
      <c r="A9" s="17"/>
      <c r="B9" s="21" t="s">
        <v>16</v>
      </c>
      <c r="C9" s="22">
        <f>+C8</f>
        <v>5840.8360960000009</v>
      </c>
      <c r="D9" s="22">
        <f>AVERAGE($B8:D8)</f>
        <v>6112.6196565000009</v>
      </c>
      <c r="E9" s="22">
        <f>AVERAGE($B8:E8)</f>
        <v>6268.8218950000009</v>
      </c>
      <c r="F9" s="22">
        <f>AVERAGE($B8:F8)</f>
        <v>6411.5672167500006</v>
      </c>
      <c r="G9" s="22">
        <f>AVERAGE($B8:G8)</f>
        <v>6448.8408642000013</v>
      </c>
      <c r="H9" s="22">
        <f>AVERAGE($B8:H8)</f>
        <v>6491.7911703333339</v>
      </c>
      <c r="I9" s="22">
        <f>AVERAGE($B8:I8)</f>
        <v>6606.5867792857152</v>
      </c>
      <c r="J9" s="22">
        <f>AVERAGE($B8:J8)</f>
        <v>6726.9000597500008</v>
      </c>
      <c r="K9" s="22">
        <f>AVERAGE($B8:K8)</f>
        <v>6842.0373674444454</v>
      </c>
      <c r="L9" s="22">
        <f>AVERAGE($B8:L8)</f>
        <v>6995.3288919000015</v>
      </c>
      <c r="M9" s="22">
        <f>AVERAGE($B8:M8)</f>
        <v>7126.7652420000004</v>
      </c>
      <c r="N9" s="22">
        <f>AVERAGE($B8:N8)</f>
        <v>7083.3331335000003</v>
      </c>
      <c r="O9" s="22">
        <f>AVERAGE($B8:N8)</f>
        <v>7083.3331335000003</v>
      </c>
      <c r="P9" s="23"/>
      <c r="Q9" s="23"/>
      <c r="R9" s="23"/>
      <c r="S9" s="23"/>
      <c r="T9" s="24"/>
    </row>
    <row r="10" spans="1:23" s="8" customFormat="1" ht="16" x14ac:dyDescent="0.4">
      <c r="A10" s="17"/>
      <c r="B10" t="s">
        <v>17</v>
      </c>
      <c r="C10" s="18">
        <f t="shared" ref="C10:M10" si="0">SUM(C14:C40)</f>
        <v>7165.1066610000007</v>
      </c>
      <c r="D10" s="18">
        <f t="shared" si="0"/>
        <v>6072.4375540000001</v>
      </c>
      <c r="E10" s="18">
        <f t="shared" si="0"/>
        <v>6047.7187079999985</v>
      </c>
      <c r="F10" s="18">
        <f t="shared" si="0"/>
        <v>5877.2440809999989</v>
      </c>
      <c r="G10" s="18">
        <f t="shared" si="0"/>
        <v>6745.9861529999998</v>
      </c>
      <c r="H10" s="18">
        <f t="shared" si="0"/>
        <v>6104.9562989999995</v>
      </c>
      <c r="I10" s="18">
        <f t="shared" si="0"/>
        <v>7897.0777550000012</v>
      </c>
      <c r="J10" s="18">
        <f t="shared" si="0"/>
        <v>6645.1764110000004</v>
      </c>
      <c r="K10" s="18">
        <f t="shared" si="0"/>
        <v>6864.1550450000004</v>
      </c>
      <c r="L10" s="18">
        <f t="shared" si="0"/>
        <v>8235.7460619999983</v>
      </c>
      <c r="M10" s="18">
        <f t="shared" si="0"/>
        <v>9447.5324180700009</v>
      </c>
      <c r="N10" s="18">
        <f>SUM(N14:N30)</f>
        <v>3558.2556261100003</v>
      </c>
      <c r="O10" s="19">
        <f>SUM(C10:N10)</f>
        <v>80661.392773179978</v>
      </c>
      <c r="P10"/>
      <c r="Q10"/>
      <c r="R10"/>
      <c r="S10"/>
      <c r="T10" s="24"/>
    </row>
    <row r="11" spans="1:23" s="8" customFormat="1" ht="16" x14ac:dyDescent="0.4">
      <c r="A11" s="17"/>
      <c r="B11" s="26" t="s">
        <v>18</v>
      </c>
      <c r="C11" s="26">
        <f t="shared" ref="C11:N11" si="1">+C10/C8</f>
        <v>1.2267261986527758</v>
      </c>
      <c r="D11" s="26">
        <f t="shared" si="1"/>
        <v>0.95113628441115405</v>
      </c>
      <c r="E11" s="26">
        <f t="shared" si="1"/>
        <v>0.91893491670947169</v>
      </c>
      <c r="F11" s="26">
        <f t="shared" si="1"/>
        <v>0.85927093581681935</v>
      </c>
      <c r="G11" s="26">
        <f t="shared" si="1"/>
        <v>1.0224389432167367</v>
      </c>
      <c r="H11" s="26">
        <f t="shared" si="1"/>
        <v>0.91029858023414967</v>
      </c>
      <c r="I11" s="26">
        <f t="shared" si="1"/>
        <v>1.0824794508134485</v>
      </c>
      <c r="J11" s="26">
        <f t="shared" si="1"/>
        <v>0.87793562462602603</v>
      </c>
      <c r="K11" s="26">
        <f t="shared" si="1"/>
        <v>0.88419875630131795</v>
      </c>
      <c r="L11" s="26">
        <f t="shared" si="1"/>
        <v>0.98337822833760979</v>
      </c>
      <c r="M11" s="26">
        <f t="shared" si="1"/>
        <v>1.1192261966036929</v>
      </c>
      <c r="N11" s="26">
        <f t="shared" si="1"/>
        <v>0.53867422064836912</v>
      </c>
      <c r="O11" s="26"/>
      <c r="P11" s="26"/>
      <c r="Q11" s="26"/>
      <c r="R11" s="26"/>
      <c r="S11" s="26" t="s">
        <v>57</v>
      </c>
      <c r="T11" s="24"/>
    </row>
    <row r="12" spans="1:23" s="8" customFormat="1" ht="16" x14ac:dyDescent="0.4">
      <c r="A12" s="17"/>
      <c r="B12"/>
      <c r="C12"/>
      <c r="D12"/>
      <c r="E12"/>
      <c r="F12"/>
      <c r="G12"/>
      <c r="H12"/>
      <c r="I12" s="18"/>
      <c r="J12"/>
      <c r="K12"/>
      <c r="L12"/>
      <c r="M12"/>
      <c r="N12"/>
      <c r="O12"/>
      <c r="P12"/>
      <c r="Q12"/>
      <c r="R12"/>
      <c r="S12"/>
      <c r="T12" s="27"/>
    </row>
    <row r="13" spans="1:23" s="8" customFormat="1" ht="16" x14ac:dyDescent="0.4">
      <c r="A13" s="17"/>
      <c r="B13" s="16" t="s">
        <v>19</v>
      </c>
      <c r="C13" s="15" t="s">
        <v>2</v>
      </c>
      <c r="D13" s="15" t="s">
        <v>3</v>
      </c>
      <c r="E13" s="15" t="s">
        <v>4</v>
      </c>
      <c r="F13" s="15" t="s">
        <v>5</v>
      </c>
      <c r="G13" s="15" t="s">
        <v>6</v>
      </c>
      <c r="H13" s="15" t="s">
        <v>7</v>
      </c>
      <c r="I13" s="15" t="s">
        <v>8</v>
      </c>
      <c r="J13" s="16" t="s">
        <v>9</v>
      </c>
      <c r="K13" s="16" t="s">
        <v>10</v>
      </c>
      <c r="L13" s="16" t="s">
        <v>11</v>
      </c>
      <c r="M13" s="16" t="s">
        <v>12</v>
      </c>
      <c r="N13" s="16" t="s">
        <v>13</v>
      </c>
      <c r="O13" s="15" t="s">
        <v>14</v>
      </c>
      <c r="P13" s="16" t="s">
        <v>20</v>
      </c>
      <c r="Q13" s="16" t="s">
        <v>21</v>
      </c>
      <c r="R13" s="16"/>
      <c r="S13" s="16"/>
      <c r="T13" s="28"/>
    </row>
    <row r="14" spans="1:23" s="8" customFormat="1" ht="16" x14ac:dyDescent="0.4">
      <c r="A14" s="17"/>
      <c r="B14" s="29">
        <v>1</v>
      </c>
      <c r="C14" s="18">
        <v>143.626283</v>
      </c>
      <c r="D14" s="18">
        <v>37.893219999999999</v>
      </c>
      <c r="E14" s="18">
        <v>11.721551</v>
      </c>
      <c r="F14" s="18">
        <v>42.305</v>
      </c>
      <c r="G14" s="18">
        <v>227.877408</v>
      </c>
      <c r="H14" s="18">
        <v>149.94489200000001</v>
      </c>
      <c r="I14" s="18">
        <v>192.27523299999999</v>
      </c>
      <c r="J14" s="18">
        <v>186.58336399999999</v>
      </c>
      <c r="K14" s="18">
        <v>123.455568</v>
      </c>
      <c r="L14" s="18">
        <v>82.081627999999995</v>
      </c>
      <c r="M14" s="18">
        <v>30.522500000000001</v>
      </c>
      <c r="N14" s="132">
        <f>Chart!AL3</f>
        <v>98.646726000000001</v>
      </c>
      <c r="O14"/>
      <c r="P14" s="19">
        <f>AVERAGE(C14:N14)</f>
        <v>110.57778108333332</v>
      </c>
      <c r="Q14" s="30">
        <f>+L14/$L$8</f>
        <v>9.8008468588096642E-3</v>
      </c>
      <c r="R14"/>
      <c r="S14"/>
      <c r="T14" s="31"/>
    </row>
    <row r="15" spans="1:23" s="8" customFormat="1" ht="16" x14ac:dyDescent="0.4">
      <c r="A15" s="17"/>
      <c r="B15" s="29">
        <v>2</v>
      </c>
      <c r="C15" s="18">
        <v>169.37109000000001</v>
      </c>
      <c r="D15" s="18">
        <v>462.87824599999999</v>
      </c>
      <c r="E15" s="18">
        <v>165.28974500000001</v>
      </c>
      <c r="F15" s="18">
        <v>70.817693000000006</v>
      </c>
      <c r="G15" s="18">
        <v>103.91357499999999</v>
      </c>
      <c r="H15" s="18">
        <v>73.486881999999994</v>
      </c>
      <c r="I15" s="18">
        <v>113.225328</v>
      </c>
      <c r="J15" s="18">
        <v>227.570244</v>
      </c>
      <c r="K15" s="18">
        <v>139.16953699999999</v>
      </c>
      <c r="L15" s="18">
        <v>80.960977</v>
      </c>
      <c r="M15" s="18">
        <v>875.70107299999995</v>
      </c>
      <c r="N15" s="132">
        <f>Chart!AL4</f>
        <v>264.99633</v>
      </c>
      <c r="O15"/>
      <c r="P15" s="19">
        <f t="shared" ref="P15:P30" si="2">AVERAGE(C15:N15)</f>
        <v>228.94839333333334</v>
      </c>
      <c r="Q15" s="30">
        <f t="shared" ref="Q15:Q24" si="3">+L15/$L$8</f>
        <v>9.6670370270508215E-3</v>
      </c>
      <c r="R15"/>
      <c r="S15"/>
      <c r="T15" s="31"/>
    </row>
    <row r="16" spans="1:23" s="8" customFormat="1" ht="16" x14ac:dyDescent="0.4">
      <c r="A16" s="17"/>
      <c r="B16" s="29">
        <v>3</v>
      </c>
      <c r="C16" s="18">
        <v>75.336042000000006</v>
      </c>
      <c r="D16" s="18">
        <v>164.75744900000001</v>
      </c>
      <c r="E16" s="18">
        <v>213.133341</v>
      </c>
      <c r="F16" s="18">
        <v>97.985384999999994</v>
      </c>
      <c r="G16" s="18">
        <v>147.650958</v>
      </c>
      <c r="H16" s="18">
        <v>135.807424</v>
      </c>
      <c r="I16" s="18">
        <v>133.035134</v>
      </c>
      <c r="J16" s="18">
        <v>165.92283699999999</v>
      </c>
      <c r="K16" s="18">
        <v>317.27696700000001</v>
      </c>
      <c r="L16" s="18">
        <v>134.050635</v>
      </c>
      <c r="M16" s="18">
        <v>253.07761500000001</v>
      </c>
      <c r="N16" s="132">
        <f>Chart!AL5</f>
        <v>106.808565</v>
      </c>
      <c r="O16"/>
      <c r="P16" s="19">
        <f t="shared" si="2"/>
        <v>162.07019599999998</v>
      </c>
      <c r="Q16" s="30">
        <f t="shared" ref="Q16:Q23" si="4">+L16/$L$8</f>
        <v>1.6006136537169934E-2</v>
      </c>
      <c r="R16"/>
      <c r="S16"/>
      <c r="T16" s="32"/>
    </row>
    <row r="17" spans="1:20" s="8" customFormat="1" ht="16" x14ac:dyDescent="0.4">
      <c r="A17" s="17"/>
      <c r="B17" s="29">
        <v>4</v>
      </c>
      <c r="C17" s="18">
        <v>229.709281</v>
      </c>
      <c r="D17" s="18">
        <v>125.432901</v>
      </c>
      <c r="E17" s="18">
        <v>203.14862199999999</v>
      </c>
      <c r="F17" s="18">
        <v>44.042214000000001</v>
      </c>
      <c r="G17" s="18">
        <v>130.639816</v>
      </c>
      <c r="H17" s="18">
        <v>176.91900799999999</v>
      </c>
      <c r="I17" s="18">
        <v>158.041</v>
      </c>
      <c r="J17" s="18">
        <v>177.90955400000001</v>
      </c>
      <c r="K17" s="18">
        <v>115.324612</v>
      </c>
      <c r="L17" s="18">
        <v>181.201076</v>
      </c>
      <c r="M17" s="18">
        <v>70.021180999999999</v>
      </c>
      <c r="N17" s="132">
        <f>Chart!AL6</f>
        <v>86.255638000000005</v>
      </c>
      <c r="O17"/>
      <c r="P17" s="19">
        <f t="shared" si="2"/>
        <v>141.55374191666667</v>
      </c>
      <c r="Q17" s="30">
        <f t="shared" si="4"/>
        <v>2.1636071795841223E-2</v>
      </c>
      <c r="R17"/>
      <c r="S17"/>
      <c r="T17" s="33"/>
    </row>
    <row r="18" spans="1:20" s="8" customFormat="1" ht="16" x14ac:dyDescent="0.4">
      <c r="A18" s="17"/>
      <c r="B18" s="29">
        <v>5</v>
      </c>
      <c r="C18" s="18">
        <v>494.54077599999999</v>
      </c>
      <c r="D18" s="18">
        <v>132.190099</v>
      </c>
      <c r="E18" s="18">
        <v>285.56638500000003</v>
      </c>
      <c r="F18" s="18">
        <v>68.857397000000006</v>
      </c>
      <c r="G18" s="18">
        <v>105.295551</v>
      </c>
      <c r="H18" s="18">
        <v>83.625906000000001</v>
      </c>
      <c r="I18" s="18">
        <v>61.885694000000001</v>
      </c>
      <c r="J18" s="18">
        <v>225.64806999999999</v>
      </c>
      <c r="K18" s="18">
        <v>45.198566999999997</v>
      </c>
      <c r="L18" s="18">
        <v>130.38556600000001</v>
      </c>
      <c r="M18" s="18">
        <v>510.63904700000001</v>
      </c>
      <c r="N18" s="132">
        <f>Chart!AL7</f>
        <v>171.94256811</v>
      </c>
      <c r="O18"/>
      <c r="P18" s="19">
        <f t="shared" si="2"/>
        <v>192.98130217583332</v>
      </c>
      <c r="Q18" s="30">
        <f t="shared" si="4"/>
        <v>1.5568513881878906E-2</v>
      </c>
      <c r="R18"/>
      <c r="S18"/>
      <c r="T18" s="24"/>
    </row>
    <row r="19" spans="1:20" s="8" customFormat="1" ht="16" x14ac:dyDescent="0.4">
      <c r="A19" s="17"/>
      <c r="B19" s="29">
        <v>6</v>
      </c>
      <c r="C19" s="18">
        <v>328.10567700000001</v>
      </c>
      <c r="D19" s="18">
        <v>71.182462000000001</v>
      </c>
      <c r="E19" s="18">
        <v>100.44089200000001</v>
      </c>
      <c r="F19" s="18">
        <v>137.945121</v>
      </c>
      <c r="G19" s="18">
        <v>720.47006999999996</v>
      </c>
      <c r="H19" s="18">
        <v>251.616501</v>
      </c>
      <c r="I19" s="18">
        <v>143.23320200000001</v>
      </c>
      <c r="J19" s="18">
        <v>98.578822000000002</v>
      </c>
      <c r="K19" s="18">
        <v>293.23882700000001</v>
      </c>
      <c r="L19" s="18">
        <v>93.925685000000001</v>
      </c>
      <c r="M19" s="18">
        <v>403.61924699999997</v>
      </c>
      <c r="N19" s="132">
        <f>Chart!AL8</f>
        <v>125.084532</v>
      </c>
      <c r="O19"/>
      <c r="P19" s="19">
        <f t="shared" si="2"/>
        <v>230.62008649999999</v>
      </c>
      <c r="Q19" s="30">
        <f t="shared" si="4"/>
        <v>1.1215070622061687E-2</v>
      </c>
      <c r="R19"/>
      <c r="S19"/>
      <c r="T19" s="24"/>
    </row>
    <row r="20" spans="1:20" s="25" customFormat="1" ht="16" x14ac:dyDescent="0.4">
      <c r="A20" s="34"/>
      <c r="B20" s="29">
        <v>7</v>
      </c>
      <c r="C20" s="18">
        <v>68.281828000000004</v>
      </c>
      <c r="D20" s="18">
        <v>74.078612000000007</v>
      </c>
      <c r="E20" s="18">
        <v>233.47342900000001</v>
      </c>
      <c r="F20" s="18">
        <v>111.094319</v>
      </c>
      <c r="G20" s="18">
        <v>293.65639700000003</v>
      </c>
      <c r="H20" s="18">
        <v>212.322405</v>
      </c>
      <c r="I20" s="18">
        <v>168.20193399999999</v>
      </c>
      <c r="J20" s="18">
        <v>213.514038</v>
      </c>
      <c r="K20" s="18">
        <v>208.24556200000001</v>
      </c>
      <c r="L20" s="18">
        <v>95.786731000000003</v>
      </c>
      <c r="M20" s="18">
        <v>29.027308999999999</v>
      </c>
      <c r="N20" s="132">
        <f>Chart!AL9</f>
        <v>377.49897199999998</v>
      </c>
      <c r="O20"/>
      <c r="P20" s="19">
        <f t="shared" si="2"/>
        <v>173.765128</v>
      </c>
      <c r="Q20" s="30">
        <f t="shared" si="4"/>
        <v>1.143728632717904E-2</v>
      </c>
      <c r="R20"/>
      <c r="S20"/>
      <c r="T20" s="35"/>
    </row>
    <row r="21" spans="1:20" s="25" customFormat="1" ht="16" x14ac:dyDescent="0.4">
      <c r="A21" s="34"/>
      <c r="B21" s="29">
        <v>8</v>
      </c>
      <c r="C21" s="18">
        <v>122.470651</v>
      </c>
      <c r="D21" s="18">
        <v>218.409054</v>
      </c>
      <c r="E21" s="18">
        <v>173.96670900000001</v>
      </c>
      <c r="F21" s="18">
        <v>261.82853299999999</v>
      </c>
      <c r="G21" s="18">
        <v>20.474391000000001</v>
      </c>
      <c r="H21" s="18">
        <v>234.51483099999999</v>
      </c>
      <c r="I21" s="18">
        <v>224.72260499999999</v>
      </c>
      <c r="J21" s="18">
        <v>18.115296000000001</v>
      </c>
      <c r="K21" s="18">
        <v>136.53097099999999</v>
      </c>
      <c r="L21" s="18">
        <v>141.46951000000001</v>
      </c>
      <c r="M21" s="18">
        <v>324.71875699999998</v>
      </c>
      <c r="N21" s="132">
        <f>Chart!AL10</f>
        <v>141.103195</v>
      </c>
      <c r="O21"/>
      <c r="P21" s="19">
        <f t="shared" si="2"/>
        <v>168.19370858333329</v>
      </c>
      <c r="Q21" s="30">
        <f t="shared" si="4"/>
        <v>1.689197737039088E-2</v>
      </c>
      <c r="R21"/>
      <c r="S21"/>
      <c r="T21" s="35"/>
    </row>
    <row r="22" spans="1:20" s="8" customFormat="1" ht="16" x14ac:dyDescent="0.4">
      <c r="A22" s="17"/>
      <c r="B22" s="29">
        <v>9</v>
      </c>
      <c r="C22" s="18">
        <v>219.485851</v>
      </c>
      <c r="D22" s="18">
        <v>147.17950200000001</v>
      </c>
      <c r="E22" s="18">
        <v>73.625679000000005</v>
      </c>
      <c r="F22" s="18">
        <v>310.62813199999999</v>
      </c>
      <c r="G22" s="18">
        <v>110.734359</v>
      </c>
      <c r="H22" s="18">
        <v>168.36770799999999</v>
      </c>
      <c r="I22" s="18">
        <v>439.57604400000002</v>
      </c>
      <c r="J22" s="18">
        <v>124.83465099999999</v>
      </c>
      <c r="K22" s="18">
        <v>89.736170999999999</v>
      </c>
      <c r="L22" s="18">
        <v>489.35197399999998</v>
      </c>
      <c r="M22" s="18">
        <v>161.913411</v>
      </c>
      <c r="N22" s="132">
        <f>Chart!AL11</f>
        <v>191.81141600000001</v>
      </c>
      <c r="O22"/>
      <c r="P22" s="19">
        <f t="shared" si="2"/>
        <v>210.60374149999998</v>
      </c>
      <c r="Q22" s="30">
        <f t="shared" si="4"/>
        <v>5.8430417062758651E-2</v>
      </c>
      <c r="R22"/>
      <c r="S22"/>
      <c r="T22" s="24"/>
    </row>
    <row r="23" spans="1:20" s="8" customFormat="1" ht="16" x14ac:dyDescent="0.4">
      <c r="A23" s="17"/>
      <c r="B23" s="29">
        <v>10</v>
      </c>
      <c r="C23" s="18">
        <v>488.128086</v>
      </c>
      <c r="D23" s="18">
        <v>299.56090399999999</v>
      </c>
      <c r="E23" s="18">
        <v>238.65937400000001</v>
      </c>
      <c r="F23" s="18">
        <v>246.995915</v>
      </c>
      <c r="G23" s="18">
        <v>363.11715199999998</v>
      </c>
      <c r="H23" s="18">
        <v>172.474051</v>
      </c>
      <c r="I23" s="18">
        <v>128.86477500000001</v>
      </c>
      <c r="J23" s="18">
        <v>116.22308200000001</v>
      </c>
      <c r="K23" s="18">
        <v>89.406270000000006</v>
      </c>
      <c r="L23" s="18">
        <v>69.200053999999994</v>
      </c>
      <c r="M23" s="18">
        <v>194.53781499999999</v>
      </c>
      <c r="N23" s="132">
        <f>Chart!AL12</f>
        <v>421.21817199999998</v>
      </c>
      <c r="O23"/>
      <c r="P23" s="19">
        <f t="shared" si="2"/>
        <v>235.69880416666663</v>
      </c>
      <c r="Q23" s="30">
        <f t="shared" si="4"/>
        <v>8.2627397677268177E-3</v>
      </c>
      <c r="R23"/>
      <c r="S23"/>
      <c r="T23" s="24"/>
    </row>
    <row r="24" spans="1:20" s="8" customFormat="1" ht="16" x14ac:dyDescent="0.4">
      <c r="A24" s="17"/>
      <c r="B24" s="29">
        <v>11</v>
      </c>
      <c r="C24" s="18">
        <v>319.33303000000001</v>
      </c>
      <c r="D24" s="18">
        <v>385.3449</v>
      </c>
      <c r="E24" s="18">
        <v>117.87584200000001</v>
      </c>
      <c r="F24" s="18">
        <v>124.99828100000001</v>
      </c>
      <c r="G24" s="18">
        <v>278.35065900000001</v>
      </c>
      <c r="H24" s="18">
        <v>78.270973999999995</v>
      </c>
      <c r="I24" s="18">
        <v>176.17555300000001</v>
      </c>
      <c r="J24" s="18">
        <v>184.01333099999999</v>
      </c>
      <c r="K24" s="18">
        <v>42.451304999999998</v>
      </c>
      <c r="L24" s="18">
        <v>164.35132999999999</v>
      </c>
      <c r="M24" s="18">
        <v>192.24073799999999</v>
      </c>
      <c r="N24" s="132">
        <f>Chart!AL13</f>
        <v>250.422256</v>
      </c>
      <c r="O24"/>
      <c r="P24" s="19">
        <f t="shared" si="2"/>
        <v>192.81901658333334</v>
      </c>
      <c r="Q24" s="30">
        <f t="shared" si="3"/>
        <v>1.962415044170043E-2</v>
      </c>
      <c r="R24"/>
      <c r="S24"/>
      <c r="T24" s="24"/>
    </row>
    <row r="25" spans="1:20" s="8" customFormat="1" ht="16" x14ac:dyDescent="0.4">
      <c r="A25" s="17"/>
      <c r="B25" s="29">
        <v>12</v>
      </c>
      <c r="C25" s="18">
        <v>85.124723000000003</v>
      </c>
      <c r="D25" s="18">
        <v>133.234915</v>
      </c>
      <c r="E25" s="18">
        <v>316.721317</v>
      </c>
      <c r="F25" s="18">
        <v>332.41236800000001</v>
      </c>
      <c r="G25" s="18">
        <v>285.07475599999998</v>
      </c>
      <c r="H25" s="18">
        <v>199.465373</v>
      </c>
      <c r="I25" s="18">
        <v>277.10198100000002</v>
      </c>
      <c r="J25" s="18">
        <v>818.91868399999998</v>
      </c>
      <c r="K25" s="18">
        <v>155.33819</v>
      </c>
      <c r="L25" s="18">
        <v>214.61420899999999</v>
      </c>
      <c r="M25" s="18">
        <v>292.88761299999999</v>
      </c>
      <c r="N25" s="132">
        <f>Chart!AL14</f>
        <v>29.928774000000001</v>
      </c>
      <c r="O25"/>
      <c r="P25" s="19">
        <f t="shared" si="2"/>
        <v>261.73524191666667</v>
      </c>
      <c r="Q25" s="30">
        <f>+L25/$L$8</f>
        <v>2.5625722191250526E-2</v>
      </c>
      <c r="R25"/>
      <c r="S25"/>
      <c r="T25" s="27"/>
    </row>
    <row r="26" spans="1:20" s="8" customFormat="1" ht="16" x14ac:dyDescent="0.4">
      <c r="A26" s="17"/>
      <c r="B26" s="29">
        <v>13</v>
      </c>
      <c r="C26" s="18">
        <v>414.58466299999998</v>
      </c>
      <c r="D26" s="18">
        <v>75.785884999999993</v>
      </c>
      <c r="E26" s="18">
        <v>75.286339999999996</v>
      </c>
      <c r="F26" s="18">
        <v>228.72548699999999</v>
      </c>
      <c r="G26" s="18">
        <v>45.591582000000002</v>
      </c>
      <c r="H26" s="18">
        <v>167.541203</v>
      </c>
      <c r="I26" s="18">
        <v>107.07464299999999</v>
      </c>
      <c r="J26" s="18">
        <v>163.70290800000001</v>
      </c>
      <c r="K26" s="18">
        <v>93.813269000000005</v>
      </c>
      <c r="L26" s="25">
        <v>147.04460399999999</v>
      </c>
      <c r="M26" s="130">
        <v>292.88761299999999</v>
      </c>
      <c r="N26" s="132">
        <f>Chart!AL15</f>
        <v>337.84507500000001</v>
      </c>
      <c r="O26"/>
      <c r="P26" s="19">
        <f t="shared" si="2"/>
        <v>179.15693933333333</v>
      </c>
      <c r="Q26" s="30">
        <f t="shared" ref="Q26:Q39" si="5">+L26/$L$8</f>
        <v>1.7557664002696326E-2</v>
      </c>
      <c r="S26"/>
      <c r="T26" s="24"/>
    </row>
    <row r="27" spans="1:20" s="8" customFormat="1" ht="16" x14ac:dyDescent="0.4">
      <c r="A27" s="17"/>
      <c r="B27" s="29">
        <v>14</v>
      </c>
      <c r="C27" s="18">
        <v>193.46489800000001</v>
      </c>
      <c r="D27" s="18">
        <v>215.74686</v>
      </c>
      <c r="E27" s="18">
        <v>346.113632</v>
      </c>
      <c r="F27" s="18">
        <v>158.442037</v>
      </c>
      <c r="G27" s="18">
        <v>384.21253400000001</v>
      </c>
      <c r="H27" s="18">
        <v>405.98637500000001</v>
      </c>
      <c r="I27" s="18">
        <v>222.62102100000001</v>
      </c>
      <c r="J27" s="18">
        <v>62.297226999999999</v>
      </c>
      <c r="K27" s="18">
        <v>177.41380000000001</v>
      </c>
      <c r="L27" s="18">
        <v>248.55515299999999</v>
      </c>
      <c r="M27" s="130">
        <v>156.931397</v>
      </c>
      <c r="N27" s="132">
        <f>Chart!AL16</f>
        <v>357.81986000000001</v>
      </c>
      <c r="O27"/>
      <c r="P27" s="19">
        <f t="shared" si="2"/>
        <v>244.13373283333328</v>
      </c>
      <c r="Q27" s="30">
        <f t="shared" si="5"/>
        <v>2.9678395152213665E-2</v>
      </c>
      <c r="S27"/>
      <c r="T27" s="24"/>
    </row>
    <row r="28" spans="1:20" s="8" customFormat="1" ht="16" x14ac:dyDescent="0.4">
      <c r="A28" s="17"/>
      <c r="B28" s="29">
        <v>15</v>
      </c>
      <c r="C28" s="18">
        <v>397.08713699999998</v>
      </c>
      <c r="D28" s="18">
        <v>64.348815000000002</v>
      </c>
      <c r="E28" s="18">
        <v>120.89921699999999</v>
      </c>
      <c r="F28" s="18">
        <v>344.81893100000002</v>
      </c>
      <c r="G28" s="18">
        <v>106.681922</v>
      </c>
      <c r="H28" s="18">
        <v>266.68066900000002</v>
      </c>
      <c r="I28" s="18">
        <v>417.08209799999997</v>
      </c>
      <c r="J28" s="18">
        <v>216.128287</v>
      </c>
      <c r="K28" s="18">
        <v>140.61326800000001</v>
      </c>
      <c r="L28" s="18">
        <v>225.96527699999999</v>
      </c>
      <c r="M28" s="130">
        <v>527.24620500000003</v>
      </c>
      <c r="N28" s="132">
        <f>Chart!AL17</f>
        <v>227.862596</v>
      </c>
      <c r="O28"/>
      <c r="P28" s="19">
        <f t="shared" si="2"/>
        <v>254.61786849999999</v>
      </c>
      <c r="Q28" s="30">
        <f t="shared" si="5"/>
        <v>2.6981081263221355E-2</v>
      </c>
      <c r="S28"/>
      <c r="T28" s="24"/>
    </row>
    <row r="29" spans="1:20" s="8" customFormat="1" ht="16" x14ac:dyDescent="0.4">
      <c r="A29" s="17"/>
      <c r="B29" s="29">
        <v>16</v>
      </c>
      <c r="C29" s="18">
        <v>540.28873899999996</v>
      </c>
      <c r="D29" s="18">
        <v>132.51849300000001</v>
      </c>
      <c r="E29" s="18">
        <v>546.02242100000001</v>
      </c>
      <c r="F29" s="18">
        <v>145.37024099999999</v>
      </c>
      <c r="G29" s="18">
        <v>185.56621000000001</v>
      </c>
      <c r="H29" s="18">
        <v>65.290835999999999</v>
      </c>
      <c r="I29" s="18">
        <v>227.51342700000001</v>
      </c>
      <c r="J29" s="18">
        <v>113.121183</v>
      </c>
      <c r="K29" s="18">
        <v>376.91360800000001</v>
      </c>
      <c r="L29" s="18">
        <v>48.975073000000002</v>
      </c>
      <c r="M29" s="130">
        <v>115.29304</v>
      </c>
      <c r="N29" s="132">
        <f>Chart!AL18</f>
        <v>215.554</v>
      </c>
      <c r="O29"/>
      <c r="P29" s="19">
        <f t="shared" si="2"/>
        <v>226.03560591666667</v>
      </c>
      <c r="Q29" s="30">
        <f t="shared" si="5"/>
        <v>5.8478029988881797E-3</v>
      </c>
      <c r="S29"/>
      <c r="T29" s="24"/>
    </row>
    <row r="30" spans="1:20" s="8" customFormat="1" ht="16" x14ac:dyDescent="0.4">
      <c r="A30" s="17"/>
      <c r="B30" s="29">
        <v>17</v>
      </c>
      <c r="C30" s="18">
        <v>149.29672199999999</v>
      </c>
      <c r="D30" s="18">
        <v>621.27260000000001</v>
      </c>
      <c r="E30" s="18">
        <v>374.842736</v>
      </c>
      <c r="F30" s="18">
        <v>430.45997499999999</v>
      </c>
      <c r="G30" s="18">
        <v>128.68476200000001</v>
      </c>
      <c r="H30" s="18">
        <v>109.562657</v>
      </c>
      <c r="I30" s="18">
        <v>218.940945</v>
      </c>
      <c r="J30" s="18">
        <v>171.20748900000001</v>
      </c>
      <c r="K30" s="18">
        <v>219.464077</v>
      </c>
      <c r="L30" s="18">
        <v>557.05143699999996</v>
      </c>
      <c r="M30" s="130">
        <v>504.91165799999999</v>
      </c>
      <c r="N30" s="132">
        <f>Chart!AL19</f>
        <v>153.456951</v>
      </c>
      <c r="O30"/>
      <c r="P30" s="19">
        <f t="shared" si="2"/>
        <v>303.26266741666672</v>
      </c>
      <c r="Q30" s="30">
        <f t="shared" si="5"/>
        <v>6.6513980771883072E-2</v>
      </c>
      <c r="S30"/>
      <c r="T30" s="24"/>
    </row>
    <row r="31" spans="1:20" s="8" customFormat="1" ht="16" x14ac:dyDescent="0.4">
      <c r="A31" s="17"/>
      <c r="B31" s="29">
        <v>18</v>
      </c>
      <c r="C31" s="18">
        <v>185.57405499999999</v>
      </c>
      <c r="D31" s="18">
        <v>98.037734</v>
      </c>
      <c r="E31" s="18">
        <v>315.777894</v>
      </c>
      <c r="F31" s="18">
        <v>310.13446900000002</v>
      </c>
      <c r="G31" s="18">
        <v>157.08308099999999</v>
      </c>
      <c r="H31" s="18">
        <v>431.97302500000001</v>
      </c>
      <c r="I31" s="18">
        <v>304.45443699999998</v>
      </c>
      <c r="J31" s="18">
        <v>293.59698400000002</v>
      </c>
      <c r="K31" s="18">
        <v>199.41613799999999</v>
      </c>
      <c r="L31" s="18">
        <v>62.533681000000001</v>
      </c>
      <c r="M31" s="130">
        <v>276.89674200000002</v>
      </c>
      <c r="N31" s="132">
        <f>Chart!AL20</f>
        <v>120.93973099999999</v>
      </c>
      <c r="O31"/>
      <c r="P31" s="19">
        <f t="shared" ref="P31:P39" si="6">AVERAGE(C31:M31)</f>
        <v>239.58893090909089</v>
      </c>
      <c r="Q31" s="30">
        <f t="shared" si="5"/>
        <v>7.4667504279843913E-3</v>
      </c>
      <c r="R31" s="29">
        <v>1</v>
      </c>
      <c r="S31"/>
      <c r="T31" s="24"/>
    </row>
    <row r="32" spans="1:20" s="8" customFormat="1" ht="16" x14ac:dyDescent="0.4">
      <c r="A32" s="17"/>
      <c r="B32" s="29">
        <v>19</v>
      </c>
      <c r="C32" s="18">
        <v>506.21930400000002</v>
      </c>
      <c r="D32" s="18">
        <v>14.859641999999999</v>
      </c>
      <c r="E32" s="18">
        <v>148.877173</v>
      </c>
      <c r="F32" s="18">
        <v>314.29510800000003</v>
      </c>
      <c r="G32" s="18">
        <v>95.025124000000005</v>
      </c>
      <c r="H32" s="18">
        <v>110.28142099999999</v>
      </c>
      <c r="I32" s="18">
        <v>654.44686200000001</v>
      </c>
      <c r="J32" s="18">
        <v>164.91883300000001</v>
      </c>
      <c r="K32" s="18">
        <v>109.74645</v>
      </c>
      <c r="L32" s="18">
        <v>194.36308299999999</v>
      </c>
      <c r="M32" s="130">
        <v>194.17899299999999</v>
      </c>
      <c r="N32" s="132">
        <f>Chart!AL21</f>
        <v>478.24211564000001</v>
      </c>
      <c r="O32"/>
      <c r="P32" s="19">
        <f t="shared" si="6"/>
        <v>227.92836299999999</v>
      </c>
      <c r="Q32" s="30">
        <f t="shared" si="5"/>
        <v>2.3207663613703081E-2</v>
      </c>
      <c r="R32" s="29">
        <v>2</v>
      </c>
      <c r="S32"/>
      <c r="T32" s="24"/>
    </row>
    <row r="33" spans="1:20" s="8" customFormat="1" ht="16" x14ac:dyDescent="0.4">
      <c r="A33" s="17"/>
      <c r="B33" s="29">
        <v>20</v>
      </c>
      <c r="C33" s="18">
        <v>116.70328499999999</v>
      </c>
      <c r="D33" s="18">
        <v>443.16062199999999</v>
      </c>
      <c r="E33" s="18">
        <v>471.696282</v>
      </c>
      <c r="F33" s="18">
        <v>167.466635</v>
      </c>
      <c r="G33" s="18">
        <v>185.25446400000001</v>
      </c>
      <c r="H33" s="18">
        <v>322.08529299999998</v>
      </c>
      <c r="I33" s="18">
        <v>228.243494</v>
      </c>
      <c r="J33" s="18">
        <v>51.025210999999999</v>
      </c>
      <c r="K33" s="18">
        <v>221.888351</v>
      </c>
      <c r="L33" s="18">
        <v>347.01655699999998</v>
      </c>
      <c r="M33" s="130">
        <v>138.124334</v>
      </c>
      <c r="N33" s="132">
        <f>Chart!AL22</f>
        <v>104.99978299999999</v>
      </c>
      <c r="O33"/>
      <c r="P33" s="19">
        <f t="shared" si="6"/>
        <v>244.78768436363634</v>
      </c>
      <c r="Q33" s="30">
        <f t="shared" si="5"/>
        <v>4.1435047226748407E-2</v>
      </c>
      <c r="R33" s="29">
        <v>3</v>
      </c>
      <c r="S33"/>
      <c r="T33" s="24"/>
    </row>
    <row r="34" spans="1:20" s="8" customFormat="1" ht="16" x14ac:dyDescent="0.4">
      <c r="A34" s="17"/>
      <c r="B34" s="29">
        <v>21</v>
      </c>
      <c r="C34" s="18">
        <v>292.10715699999997</v>
      </c>
      <c r="D34" s="18">
        <v>257.59192200000001</v>
      </c>
      <c r="E34" s="18">
        <v>390.62912</v>
      </c>
      <c r="F34" s="18">
        <v>178.50900200000001</v>
      </c>
      <c r="G34" s="18">
        <v>166.657882</v>
      </c>
      <c r="H34" s="18">
        <v>423.332132</v>
      </c>
      <c r="I34" s="18">
        <v>339.81229400000001</v>
      </c>
      <c r="J34" s="18">
        <v>190.19046299999999</v>
      </c>
      <c r="K34" s="18">
        <v>408.105231</v>
      </c>
      <c r="L34" s="18">
        <v>303.45136000000002</v>
      </c>
      <c r="M34" s="130">
        <v>294.822765</v>
      </c>
      <c r="N34" s="132">
        <f>Chart!AL23</f>
        <v>128.72252</v>
      </c>
      <c r="O34"/>
      <c r="P34" s="19">
        <f t="shared" si="6"/>
        <v>295.01902981818182</v>
      </c>
      <c r="Q34" s="30">
        <f t="shared" si="5"/>
        <v>3.6233203226153372E-2</v>
      </c>
      <c r="R34" s="29">
        <v>4</v>
      </c>
      <c r="S34"/>
      <c r="T34" s="24"/>
    </row>
    <row r="35" spans="1:20" s="8" customFormat="1" ht="16" x14ac:dyDescent="0.4">
      <c r="A35" s="17"/>
      <c r="B35" s="29">
        <v>22</v>
      </c>
      <c r="C35" s="18">
        <v>261.60632099999998</v>
      </c>
      <c r="D35" s="18">
        <v>-16.341381999999999</v>
      </c>
      <c r="E35" s="18">
        <v>556.96970799999997</v>
      </c>
      <c r="F35" s="18">
        <v>218.22985700000001</v>
      </c>
      <c r="G35" s="18">
        <v>534.78840100000002</v>
      </c>
      <c r="H35" s="18">
        <v>304.93926800000003</v>
      </c>
      <c r="I35" s="18">
        <v>253.99575300000001</v>
      </c>
      <c r="J35" s="18">
        <v>122.976871</v>
      </c>
      <c r="K35" s="18">
        <v>184.668826</v>
      </c>
      <c r="L35" s="18">
        <v>336.14278000000002</v>
      </c>
      <c r="M35" s="131">
        <v>113.720884</v>
      </c>
      <c r="N35" s="132">
        <f>Chart!AL24</f>
        <v>133.89414400000001</v>
      </c>
      <c r="O35"/>
      <c r="P35" s="19">
        <f t="shared" si="6"/>
        <v>261.06338972727275</v>
      </c>
      <c r="Q35" s="30">
        <f t="shared" si="5"/>
        <v>4.0136678447393222E-2</v>
      </c>
      <c r="R35" s="29">
        <v>5</v>
      </c>
      <c r="S35"/>
      <c r="T35" s="24"/>
    </row>
    <row r="36" spans="1:20" s="8" customFormat="1" ht="16" x14ac:dyDescent="0.4">
      <c r="A36" s="17"/>
      <c r="B36" s="29">
        <v>23</v>
      </c>
      <c r="C36" s="18">
        <v>1364.6610619999999</v>
      </c>
      <c r="D36" s="18">
        <v>288.94740100000001</v>
      </c>
      <c r="E36" s="18">
        <v>566.33129899999994</v>
      </c>
      <c r="F36" s="18">
        <v>114.14089800000001</v>
      </c>
      <c r="G36" s="18">
        <v>806.170029</v>
      </c>
      <c r="H36" s="18">
        <v>1560.4674649999999</v>
      </c>
      <c r="I36" s="18">
        <v>87.457198000000005</v>
      </c>
      <c r="J36" s="18">
        <v>158.53183000000001</v>
      </c>
      <c r="K36" s="18">
        <v>57.292928000000003</v>
      </c>
      <c r="L36" s="18">
        <v>439.42288500000001</v>
      </c>
      <c r="M36" s="131">
        <v>527.64694199999997</v>
      </c>
      <c r="N36" s="132">
        <f>Chart!AL25</f>
        <v>132.38512299999999</v>
      </c>
      <c r="O36"/>
      <c r="P36" s="19">
        <f t="shared" si="6"/>
        <v>542.82453972727274</v>
      </c>
      <c r="Q36" s="30">
        <f t="shared" si="5"/>
        <v>5.2468701061111143E-2</v>
      </c>
      <c r="R36" s="29">
        <v>6</v>
      </c>
      <c r="S36"/>
      <c r="T36" s="24"/>
    </row>
    <row r="37" spans="1:20" s="8" customFormat="1" ht="16" x14ac:dyDescent="0.4">
      <c r="A37" s="17"/>
      <c r="B37" s="29">
        <v>24</v>
      </c>
      <c r="C37"/>
      <c r="D37" s="18">
        <v>1624.366698</v>
      </c>
      <c r="E37" s="18">
        <v>0.65</v>
      </c>
      <c r="F37" s="18">
        <v>1416.7410829999999</v>
      </c>
      <c r="G37" s="18">
        <v>1163.0150699999999</v>
      </c>
      <c r="H37"/>
      <c r="I37" s="18">
        <v>161.496836</v>
      </c>
      <c r="J37" s="18">
        <v>628.42442600000004</v>
      </c>
      <c r="K37" s="18">
        <v>979.85558800000001</v>
      </c>
      <c r="L37" s="18">
        <v>287.72434800000002</v>
      </c>
      <c r="M37" s="132">
        <v>134.397042</v>
      </c>
      <c r="N37" s="132">
        <f>Chart!AL26</f>
        <v>172.12056000000001</v>
      </c>
      <c r="O37"/>
      <c r="P37" s="19">
        <f t="shared" si="6"/>
        <v>710.7412323333333</v>
      </c>
      <c r="Q37" s="30">
        <f t="shared" si="5"/>
        <v>3.4355340421596645E-2</v>
      </c>
      <c r="R37" s="29">
        <v>7</v>
      </c>
      <c r="S37"/>
      <c r="T37" s="24"/>
    </row>
    <row r="38" spans="1:20" s="8" customFormat="1" ht="16" x14ac:dyDescent="0.4">
      <c r="A38" s="17"/>
      <c r="B38" s="29">
        <v>25</v>
      </c>
      <c r="C38"/>
      <c r="D38"/>
      <c r="E38"/>
      <c r="F38"/>
      <c r="G38"/>
      <c r="H38"/>
      <c r="I38" s="18">
        <v>243.873784</v>
      </c>
      <c r="J38" s="18">
        <v>323.26383499999997</v>
      </c>
      <c r="K38" s="18">
        <v>1939.590964</v>
      </c>
      <c r="L38" s="18">
        <v>576.704297</v>
      </c>
      <c r="M38" s="132">
        <v>717.14660288999994</v>
      </c>
      <c r="N38" s="132">
        <f>Chart!AL27</f>
        <v>518.22254599999997</v>
      </c>
      <c r="O38"/>
      <c r="P38" s="19">
        <f t="shared" si="6"/>
        <v>760.11589657800005</v>
      </c>
      <c r="Q38" s="30">
        <f t="shared" si="5"/>
        <v>6.8860604198962588E-2</v>
      </c>
      <c r="R38" s="29">
        <v>8</v>
      </c>
      <c r="S38"/>
      <c r="T38" s="24"/>
    </row>
    <row r="39" spans="1:20" s="8" customFormat="1" ht="16" x14ac:dyDescent="0.4">
      <c r="A39" s="17"/>
      <c r="B39" s="29">
        <v>26</v>
      </c>
      <c r="C39"/>
      <c r="D39"/>
      <c r="E39"/>
      <c r="F39"/>
      <c r="G39"/>
      <c r="H39"/>
      <c r="I39" s="18">
        <v>145.97661400000001</v>
      </c>
      <c r="J39" s="18">
        <v>1427.958891</v>
      </c>
      <c r="K39"/>
      <c r="L39" s="18">
        <v>99.571832000000001</v>
      </c>
      <c r="M39" s="132">
        <v>2114.42189418</v>
      </c>
      <c r="N39" s="132"/>
      <c r="O39"/>
      <c r="P39" s="19">
        <f t="shared" si="6"/>
        <v>946.982307795</v>
      </c>
      <c r="Q39" s="30">
        <f t="shared" si="5"/>
        <v>1.1889241242670328E-2</v>
      </c>
      <c r="R39" s="29">
        <v>9</v>
      </c>
      <c r="S39"/>
      <c r="T39" s="24"/>
    </row>
    <row r="40" spans="1:20" s="8" customFormat="1" ht="16" x14ac:dyDescent="0.4">
      <c r="A40" s="17"/>
      <c r="B40" s="29">
        <v>27</v>
      </c>
      <c r="C40"/>
      <c r="D40"/>
      <c r="E40"/>
      <c r="F40"/>
      <c r="G40"/>
      <c r="H40"/>
      <c r="I40" s="18">
        <v>2067.7498660000001</v>
      </c>
      <c r="J40"/>
      <c r="K40"/>
      <c r="L40" s="18">
        <v>2483.8443200000002</v>
      </c>
      <c r="M40"/>
      <c r="O40"/>
      <c r="P40" s="19"/>
      <c r="Q40" s="30"/>
      <c r="R40" s="29">
        <v>10</v>
      </c>
      <c r="S40"/>
      <c r="T40" s="24"/>
    </row>
    <row r="41" spans="1:20" s="8" customFormat="1" ht="16" x14ac:dyDescent="0.4">
      <c r="A41" s="17"/>
      <c r="B41"/>
      <c r="C41"/>
      <c r="D41"/>
      <c r="E41"/>
      <c r="F41"/>
      <c r="G41"/>
      <c r="H41"/>
      <c r="I41" s="18"/>
      <c r="J41"/>
      <c r="K41"/>
      <c r="L41"/>
      <c r="M41"/>
      <c r="O41"/>
      <c r="P41"/>
      <c r="Q41"/>
      <c r="R41" s="29"/>
      <c r="S41"/>
      <c r="T41" s="24"/>
    </row>
    <row r="42" spans="1:20" s="8" customFormat="1" ht="15.5" x14ac:dyDescent="0.35">
      <c r="A42" s="36"/>
      <c r="B42"/>
      <c r="C42"/>
      <c r="D42"/>
      <c r="E42"/>
      <c r="F42"/>
      <c r="G42"/>
      <c r="H42"/>
      <c r="I42" s="18"/>
      <c r="J42"/>
      <c r="K42"/>
      <c r="L42"/>
      <c r="M42"/>
      <c r="O42"/>
      <c r="P42"/>
      <c r="Q42"/>
      <c r="R42"/>
      <c r="S42"/>
      <c r="T42" s="20"/>
    </row>
    <row r="43" spans="1:20" s="8" customFormat="1" ht="16" x14ac:dyDescent="0.4">
      <c r="A43" s="17"/>
      <c r="B43" s="38" t="s">
        <v>27</v>
      </c>
      <c r="C43" s="45" t="s">
        <v>28</v>
      </c>
      <c r="D43" s="112"/>
      <c r="E43" s="113"/>
      <c r="F43" s="112"/>
      <c r="G43" s="38"/>
      <c r="H43" s="38"/>
      <c r="I43" s="38"/>
      <c r="J43" s="38"/>
      <c r="K43" s="38"/>
      <c r="L43" s="38"/>
      <c r="M43" s="38"/>
      <c r="O43" s="38"/>
      <c r="P43" s="38"/>
      <c r="Q43" s="38"/>
      <c r="R43" s="38"/>
      <c r="S43" s="24"/>
      <c r="T43" s="24"/>
    </row>
    <row r="44" spans="1:20" s="8" customFormat="1" ht="16" x14ac:dyDescent="0.4">
      <c r="A44" s="17"/>
      <c r="B44" s="38"/>
      <c r="C44" s="45" t="s">
        <v>29</v>
      </c>
      <c r="D44" s="45"/>
      <c r="E44" s="46" t="s">
        <v>30</v>
      </c>
      <c r="F44" s="45" t="s">
        <v>31</v>
      </c>
      <c r="G44" s="38"/>
      <c r="H44" s="38"/>
      <c r="I44" s="38"/>
      <c r="J44" s="38"/>
      <c r="K44" s="38"/>
      <c r="L44" s="38"/>
      <c r="M44" s="38"/>
      <c r="O44" s="38"/>
      <c r="P44" s="38"/>
      <c r="Q44" s="38"/>
      <c r="R44" s="38"/>
      <c r="S44" s="24"/>
      <c r="T44" s="24"/>
    </row>
    <row r="45" spans="1:20" s="8" customFormat="1" ht="16" x14ac:dyDescent="0.4">
      <c r="A45" s="17"/>
      <c r="B45" s="38"/>
      <c r="C45" s="45" t="s">
        <v>32</v>
      </c>
      <c r="D45" s="45"/>
      <c r="E45" s="46" t="s">
        <v>33</v>
      </c>
      <c r="F45" s="114" t="s">
        <v>34</v>
      </c>
      <c r="N45" s="38"/>
      <c r="O45" s="38"/>
      <c r="P45" s="38"/>
      <c r="Q45" s="38"/>
      <c r="R45" s="38"/>
      <c r="S45" s="27" t="s">
        <v>35</v>
      </c>
      <c r="T45" s="24"/>
    </row>
    <row r="46" spans="1:20" s="8" customFormat="1" ht="16" x14ac:dyDescent="0.4">
      <c r="A46" s="17"/>
      <c r="B46" s="38"/>
      <c r="C46" s="45"/>
      <c r="D46" s="45"/>
      <c r="E46" s="46"/>
      <c r="F46" s="115" t="s">
        <v>36</v>
      </c>
      <c r="G46" s="115" t="s">
        <v>37</v>
      </c>
      <c r="H46" s="115" t="s">
        <v>38</v>
      </c>
      <c r="I46" s="115" t="s">
        <v>39</v>
      </c>
      <c r="J46" s="115" t="s">
        <v>40</v>
      </c>
      <c r="K46" s="115" t="s">
        <v>6</v>
      </c>
      <c r="L46" s="115" t="s">
        <v>41</v>
      </c>
      <c r="M46" s="115" t="s">
        <v>42</v>
      </c>
      <c r="N46" s="115" t="s">
        <v>43</v>
      </c>
      <c r="O46" s="115" t="s">
        <v>44</v>
      </c>
      <c r="P46" s="115" t="s">
        <v>45</v>
      </c>
      <c r="Q46" s="115" t="s">
        <v>46</v>
      </c>
      <c r="R46" s="115" t="s">
        <v>47</v>
      </c>
      <c r="S46" s="116" t="s">
        <v>14</v>
      </c>
      <c r="T46" s="24"/>
    </row>
    <row r="47" spans="1:20" s="8" customFormat="1" ht="16" x14ac:dyDescent="0.4">
      <c r="A47" s="17"/>
      <c r="B47" s="38"/>
      <c r="C47" s="45"/>
      <c r="D47" s="45"/>
      <c r="E47" s="46"/>
      <c r="F47" s="117">
        <v>1</v>
      </c>
      <c r="G47" s="118">
        <f>Chart!E3</f>
        <v>143.626283</v>
      </c>
      <c r="H47" s="118">
        <f>Chart!H3</f>
        <v>37.893219999999999</v>
      </c>
      <c r="I47" s="118">
        <f>Chart!K3</f>
        <v>11.721551</v>
      </c>
      <c r="J47" s="118">
        <f>Chart!N3</f>
        <v>42.305</v>
      </c>
      <c r="K47" s="118">
        <f>Chart!Q3</f>
        <v>227.877408</v>
      </c>
      <c r="L47" s="118">
        <f>Chart!T3</f>
        <v>149.94489200000001</v>
      </c>
      <c r="M47" s="118">
        <f>Chart!W3</f>
        <v>192.27523299999999</v>
      </c>
      <c r="N47" s="118">
        <f>Chart!Z3</f>
        <v>186.58336399999999</v>
      </c>
      <c r="O47" s="118">
        <f>Chart!AC3</f>
        <v>123.455568</v>
      </c>
      <c r="P47" s="118">
        <f>Chart!AF3</f>
        <v>82.081627999999995</v>
      </c>
      <c r="Q47" s="118">
        <f>+M14</f>
        <v>30.522500000000001</v>
      </c>
      <c r="R47" s="118">
        <f>Chart!AL3</f>
        <v>98.646726000000001</v>
      </c>
      <c r="S47" s="119">
        <f>SUM(G47:R47)</f>
        <v>1326.9333729999998</v>
      </c>
      <c r="T47" s="24"/>
    </row>
    <row r="48" spans="1:20" s="8" customFormat="1" ht="16" x14ac:dyDescent="0.4">
      <c r="A48" s="17"/>
      <c r="B48" s="38"/>
      <c r="C48" s="45"/>
      <c r="D48" s="45"/>
      <c r="E48" s="46"/>
      <c r="F48" s="117">
        <v>2</v>
      </c>
      <c r="G48" s="118">
        <f>Chart!E4</f>
        <v>169.37109000000001</v>
      </c>
      <c r="H48" s="118">
        <f>Chart!H4</f>
        <v>462.87824599999999</v>
      </c>
      <c r="I48" s="118">
        <f>Chart!K4</f>
        <v>165.28974500000001</v>
      </c>
      <c r="J48" s="118">
        <f>Chart!N4</f>
        <v>70.817693000000006</v>
      </c>
      <c r="K48" s="118">
        <f>Chart!Q4</f>
        <v>103.91357499999999</v>
      </c>
      <c r="L48" s="118">
        <f>Chart!T4</f>
        <v>73.486881999999994</v>
      </c>
      <c r="M48" s="118">
        <f>Chart!W4</f>
        <v>113.225328</v>
      </c>
      <c r="N48" s="118">
        <f>Chart!Z4</f>
        <v>227.570244</v>
      </c>
      <c r="O48" s="118">
        <f>Chart!AC4</f>
        <v>139.16953699999999</v>
      </c>
      <c r="P48" s="118">
        <f>Chart!AF4</f>
        <v>80.960977</v>
      </c>
      <c r="Q48" s="118">
        <f t="shared" ref="Q48:Q69" si="7">+M15</f>
        <v>875.70107299999995</v>
      </c>
      <c r="R48" s="118">
        <f>Chart!AL4</f>
        <v>264.99633</v>
      </c>
      <c r="S48" s="119">
        <f t="shared" ref="S48:S73" si="8">SUM(G48:R48)</f>
        <v>2747.3807200000001</v>
      </c>
      <c r="T48" s="24"/>
    </row>
    <row r="49" spans="1:20" s="8" customFormat="1" ht="16" x14ac:dyDescent="0.4">
      <c r="A49" s="17"/>
      <c r="B49" s="38"/>
      <c r="C49" s="45"/>
      <c r="D49" s="45"/>
      <c r="E49" s="46"/>
      <c r="F49" s="117">
        <v>3</v>
      </c>
      <c r="G49" s="118">
        <f>Chart!E5</f>
        <v>75.336042000000006</v>
      </c>
      <c r="H49" s="118">
        <f>Chart!H5</f>
        <v>164.75744900000001</v>
      </c>
      <c r="I49" s="118">
        <f>Chart!K5</f>
        <v>213.133341</v>
      </c>
      <c r="J49" s="118">
        <f>Chart!N5</f>
        <v>97.985384999999994</v>
      </c>
      <c r="K49" s="118">
        <f>Chart!Q5</f>
        <v>147.650958</v>
      </c>
      <c r="L49" s="118">
        <f>Chart!T5</f>
        <v>135.807424</v>
      </c>
      <c r="M49" s="118">
        <f>Chart!W5</f>
        <v>133.035134</v>
      </c>
      <c r="N49" s="118">
        <f>Chart!Z5</f>
        <v>165.92283699999999</v>
      </c>
      <c r="O49" s="118">
        <f>Chart!AC5</f>
        <v>317.27696700000001</v>
      </c>
      <c r="P49" s="118">
        <f>Chart!AF5</f>
        <v>134.050635</v>
      </c>
      <c r="Q49" s="118">
        <f t="shared" si="7"/>
        <v>253.07761500000001</v>
      </c>
      <c r="R49" s="118">
        <f>Chart!AL5</f>
        <v>106.808565</v>
      </c>
      <c r="S49" s="119">
        <f t="shared" si="8"/>
        <v>1944.8423519999999</v>
      </c>
      <c r="T49" s="24"/>
    </row>
    <row r="50" spans="1:20" s="8" customFormat="1" ht="16" x14ac:dyDescent="0.4">
      <c r="A50" s="17"/>
      <c r="B50" s="38"/>
      <c r="C50" s="45"/>
      <c r="D50" s="45"/>
      <c r="E50" s="46"/>
      <c r="F50" s="117">
        <v>4</v>
      </c>
      <c r="G50" s="118">
        <f>Chart!E6</f>
        <v>229.709281</v>
      </c>
      <c r="H50" s="118">
        <f>Chart!H6</f>
        <v>125.432901</v>
      </c>
      <c r="I50" s="118">
        <f>Chart!K6</f>
        <v>203.14862199999999</v>
      </c>
      <c r="J50" s="118">
        <f>Chart!N6</f>
        <v>44.042214000000001</v>
      </c>
      <c r="K50" s="118">
        <f>Chart!Q6</f>
        <v>130.639816</v>
      </c>
      <c r="L50" s="118">
        <f>Chart!T6</f>
        <v>176.91900799999999</v>
      </c>
      <c r="M50" s="118">
        <f>Chart!W6</f>
        <v>158.041</v>
      </c>
      <c r="N50" s="118">
        <f>Chart!Z6</f>
        <v>177.90955400000001</v>
      </c>
      <c r="O50" s="118">
        <f>Chart!AC6</f>
        <v>115.324612</v>
      </c>
      <c r="P50" s="118">
        <f>Chart!AF6</f>
        <v>181.201076</v>
      </c>
      <c r="Q50" s="118">
        <f t="shared" si="7"/>
        <v>70.021180999999999</v>
      </c>
      <c r="R50" s="118">
        <f>Chart!AL6</f>
        <v>86.255638000000005</v>
      </c>
      <c r="S50" s="119">
        <f t="shared" si="8"/>
        <v>1698.6449030000001</v>
      </c>
      <c r="T50" s="24"/>
    </row>
    <row r="51" spans="1:20" s="8" customFormat="1" ht="16" x14ac:dyDescent="0.4">
      <c r="A51" s="17"/>
      <c r="B51" s="38"/>
      <c r="C51" s="45"/>
      <c r="D51" s="45"/>
      <c r="E51" s="46"/>
      <c r="F51" s="117">
        <v>5</v>
      </c>
      <c r="G51" s="118">
        <f>Chart!E7</f>
        <v>494.54077599999999</v>
      </c>
      <c r="H51" s="118">
        <f>Chart!H7</f>
        <v>132.190099</v>
      </c>
      <c r="I51" s="118">
        <f>Chart!K7</f>
        <v>285.56638500000003</v>
      </c>
      <c r="J51" s="118">
        <f>Chart!N7</f>
        <v>68.857397000000006</v>
      </c>
      <c r="K51" s="118">
        <f>Chart!Q7</f>
        <v>105.295551</v>
      </c>
      <c r="L51" s="118">
        <f>Chart!T7</f>
        <v>83.625906000000001</v>
      </c>
      <c r="M51" s="118">
        <f>Chart!W7</f>
        <v>61.885694000000001</v>
      </c>
      <c r="N51" s="118">
        <f>Chart!Z7</f>
        <v>225.64806999999999</v>
      </c>
      <c r="O51" s="118">
        <f>Chart!AC7</f>
        <v>45.198566999999997</v>
      </c>
      <c r="P51" s="118">
        <f>Chart!AF7</f>
        <v>130.38556600000001</v>
      </c>
      <c r="Q51" s="118">
        <f t="shared" si="7"/>
        <v>510.63904700000001</v>
      </c>
      <c r="R51" s="118">
        <f>Chart!AL7</f>
        <v>171.94256811</v>
      </c>
      <c r="S51" s="119">
        <f t="shared" si="8"/>
        <v>2315.7756261099998</v>
      </c>
      <c r="T51" s="24"/>
    </row>
    <row r="52" spans="1:20" s="8" customFormat="1" ht="16" x14ac:dyDescent="0.4">
      <c r="A52" s="17"/>
      <c r="B52" s="38"/>
      <c r="C52" s="45"/>
      <c r="D52" s="45"/>
      <c r="E52" s="46"/>
      <c r="F52" s="117">
        <v>6</v>
      </c>
      <c r="G52" s="118">
        <f>Chart!E8</f>
        <v>328.10567700000001</v>
      </c>
      <c r="H52" s="118">
        <f>Chart!H8</f>
        <v>71.182462000000001</v>
      </c>
      <c r="I52" s="118">
        <f>Chart!K8</f>
        <v>100.44089200000001</v>
      </c>
      <c r="J52" s="118">
        <f>Chart!N8</f>
        <v>137.945121</v>
      </c>
      <c r="K52" s="118">
        <f>Chart!Q8</f>
        <v>720.47006999999996</v>
      </c>
      <c r="L52" s="118">
        <f>Chart!T8</f>
        <v>251.616501</v>
      </c>
      <c r="M52" s="118">
        <f>Chart!W8</f>
        <v>143.23320200000001</v>
      </c>
      <c r="N52" s="118">
        <f>Chart!Z8</f>
        <v>98.578822000000002</v>
      </c>
      <c r="O52" s="118">
        <f>Chart!AC8</f>
        <v>293.23882700000001</v>
      </c>
      <c r="P52" s="118">
        <f>Chart!AF8</f>
        <v>93.925685000000001</v>
      </c>
      <c r="Q52" s="118">
        <f t="shared" si="7"/>
        <v>403.61924699999997</v>
      </c>
      <c r="R52" s="118">
        <f>Chart!AL8</f>
        <v>125.084532</v>
      </c>
      <c r="S52" s="119">
        <f t="shared" si="8"/>
        <v>2767.4410379999999</v>
      </c>
      <c r="T52" s="24"/>
    </row>
    <row r="53" spans="1:20" s="8" customFormat="1" ht="16" x14ac:dyDescent="0.4">
      <c r="A53" s="17"/>
      <c r="B53" s="38"/>
      <c r="C53" s="45"/>
      <c r="D53" s="45"/>
      <c r="E53" s="46"/>
      <c r="F53" s="117">
        <v>7</v>
      </c>
      <c r="G53" s="118">
        <f>Chart!E9</f>
        <v>68.281828000000004</v>
      </c>
      <c r="H53" s="118">
        <f>Chart!H9</f>
        <v>74.078612000000007</v>
      </c>
      <c r="I53" s="118">
        <f>Chart!K9</f>
        <v>233.47342900000001</v>
      </c>
      <c r="J53" s="118">
        <f>Chart!N9</f>
        <v>111.094319</v>
      </c>
      <c r="K53" s="118">
        <f>Chart!Q9</f>
        <v>293.65639700000003</v>
      </c>
      <c r="L53" s="118">
        <f>Chart!T9</f>
        <v>212.322405</v>
      </c>
      <c r="M53" s="118">
        <f>Chart!W9</f>
        <v>168.20193399999999</v>
      </c>
      <c r="N53" s="118">
        <f>Chart!Z9</f>
        <v>213.514038</v>
      </c>
      <c r="O53" s="118">
        <f>Chart!AC9</f>
        <v>208.24556200000001</v>
      </c>
      <c r="P53" s="118">
        <f>Chart!AF9</f>
        <v>95.786731000000003</v>
      </c>
      <c r="Q53" s="118">
        <f t="shared" si="7"/>
        <v>29.027308999999999</v>
      </c>
      <c r="R53" s="118">
        <f>Chart!AL9</f>
        <v>377.49897199999998</v>
      </c>
      <c r="S53" s="119">
        <f t="shared" si="8"/>
        <v>2085.1815360000001</v>
      </c>
      <c r="T53" s="41"/>
    </row>
    <row r="54" spans="1:20" s="8" customFormat="1" ht="16" x14ac:dyDescent="0.4">
      <c r="A54" s="17"/>
      <c r="B54" s="38"/>
      <c r="C54" s="45"/>
      <c r="D54" s="45"/>
      <c r="E54" s="46"/>
      <c r="F54" s="117">
        <v>8</v>
      </c>
      <c r="G54" s="118">
        <f>Chart!E10</f>
        <v>122.470651</v>
      </c>
      <c r="H54" s="118">
        <f>Chart!H10</f>
        <v>218.409054</v>
      </c>
      <c r="I54" s="118">
        <f>Chart!K10</f>
        <v>173.96670900000001</v>
      </c>
      <c r="J54" s="118">
        <f>Chart!N10</f>
        <v>261.82853299999999</v>
      </c>
      <c r="K54" s="118">
        <f>Chart!Q10</f>
        <v>20.474391000000001</v>
      </c>
      <c r="L54" s="118">
        <f>Chart!T10</f>
        <v>234.51483099999999</v>
      </c>
      <c r="M54" s="118">
        <f>Chart!W10</f>
        <v>224.72260499999999</v>
      </c>
      <c r="N54" s="118">
        <f>Chart!Z10</f>
        <v>18.115296000000001</v>
      </c>
      <c r="O54" s="118">
        <f>Chart!AC10</f>
        <v>136.53097099999999</v>
      </c>
      <c r="P54" s="118">
        <f>Chart!AF10</f>
        <v>141.46951000000001</v>
      </c>
      <c r="Q54" s="118">
        <f t="shared" si="7"/>
        <v>324.71875699999998</v>
      </c>
      <c r="R54" s="118">
        <f>Chart!AL10</f>
        <v>141.103195</v>
      </c>
      <c r="S54" s="119">
        <f t="shared" si="8"/>
        <v>2018.3245029999996</v>
      </c>
      <c r="T54" s="24"/>
    </row>
    <row r="55" spans="1:20" s="8" customFormat="1" ht="16" x14ac:dyDescent="0.4">
      <c r="A55" s="17"/>
      <c r="B55" s="38"/>
      <c r="C55" s="45"/>
      <c r="D55" s="45"/>
      <c r="E55" s="46"/>
      <c r="F55" s="117">
        <v>9</v>
      </c>
      <c r="G55" s="118">
        <f>Chart!E11</f>
        <v>219.485851</v>
      </c>
      <c r="H55" s="118">
        <f>Chart!H11</f>
        <v>147.17950200000001</v>
      </c>
      <c r="I55" s="118">
        <f>Chart!K11</f>
        <v>73.625679000000005</v>
      </c>
      <c r="J55" s="118">
        <f>Chart!N11</f>
        <v>310.62813199999999</v>
      </c>
      <c r="K55" s="118">
        <f>Chart!Q11</f>
        <v>110.734359</v>
      </c>
      <c r="L55" s="118">
        <f>Chart!T11</f>
        <v>168.36770799999999</v>
      </c>
      <c r="M55" s="118">
        <f>Chart!W11</f>
        <v>439.57604400000002</v>
      </c>
      <c r="N55" s="118">
        <f>Chart!Z11</f>
        <v>124.83465099999999</v>
      </c>
      <c r="O55" s="118">
        <f>Chart!AC11</f>
        <v>89.736170999999999</v>
      </c>
      <c r="P55" s="118">
        <f>Chart!AF11</f>
        <v>489.35197399999998</v>
      </c>
      <c r="Q55" s="118">
        <f t="shared" si="7"/>
        <v>161.913411</v>
      </c>
      <c r="R55" s="118">
        <f>Chart!AL11</f>
        <v>191.81141600000001</v>
      </c>
      <c r="S55" s="119">
        <f t="shared" si="8"/>
        <v>2527.2448979999999</v>
      </c>
      <c r="T55" s="24"/>
    </row>
    <row r="56" spans="1:20" s="8" customFormat="1" ht="16" x14ac:dyDescent="0.4">
      <c r="A56" s="17"/>
      <c r="B56" s="38"/>
      <c r="C56" s="45"/>
      <c r="D56" s="45"/>
      <c r="E56" s="46"/>
      <c r="F56" s="117">
        <v>10</v>
      </c>
      <c r="G56" s="118">
        <f>Chart!E12</f>
        <v>488.128086</v>
      </c>
      <c r="H56" s="118">
        <f>Chart!H12</f>
        <v>299.56090399999999</v>
      </c>
      <c r="I56" s="118">
        <f>Chart!K12</f>
        <v>238.65937400000001</v>
      </c>
      <c r="J56" s="118">
        <f>Chart!N12</f>
        <v>246.995915</v>
      </c>
      <c r="K56" s="118">
        <f>Chart!Q12</f>
        <v>363.11715199999998</v>
      </c>
      <c r="L56" s="118">
        <f>Chart!T12</f>
        <v>172.474051</v>
      </c>
      <c r="M56" s="118">
        <f>Chart!W12</f>
        <v>128.86477500000001</v>
      </c>
      <c r="N56" s="118">
        <f>Chart!Z12</f>
        <v>116.22308200000001</v>
      </c>
      <c r="O56" s="118">
        <f>Chart!AC12</f>
        <v>89.406270000000006</v>
      </c>
      <c r="P56" s="118">
        <f>Chart!AF12</f>
        <v>69.200053999999994</v>
      </c>
      <c r="Q56" s="118">
        <f t="shared" si="7"/>
        <v>194.53781499999999</v>
      </c>
      <c r="R56" s="118">
        <f>Chart!AL12</f>
        <v>421.21817199999998</v>
      </c>
      <c r="S56" s="119">
        <f t="shared" si="8"/>
        <v>2828.3856499999997</v>
      </c>
      <c r="T56" s="24"/>
    </row>
    <row r="57" spans="1:20" s="8" customFormat="1" ht="16" x14ac:dyDescent="0.4">
      <c r="A57" s="17"/>
      <c r="B57" s="38"/>
      <c r="C57" s="45"/>
      <c r="D57" s="45"/>
      <c r="E57" s="46"/>
      <c r="F57" s="117">
        <v>11</v>
      </c>
      <c r="G57" s="118">
        <f>Chart!E13</f>
        <v>319.33303000000001</v>
      </c>
      <c r="H57" s="118">
        <f>Chart!H13</f>
        <v>385.3449</v>
      </c>
      <c r="I57" s="118">
        <f>Chart!K13</f>
        <v>117.87584200000001</v>
      </c>
      <c r="J57" s="118">
        <f>Chart!N13</f>
        <v>124.99828100000001</v>
      </c>
      <c r="K57" s="118">
        <f>Chart!Q13</f>
        <v>278.35065900000001</v>
      </c>
      <c r="L57" s="118">
        <f>Chart!T13</f>
        <v>78.270973999999995</v>
      </c>
      <c r="M57" s="118">
        <f>Chart!W13</f>
        <v>176.17555300000001</v>
      </c>
      <c r="N57" s="118">
        <f>Chart!Z13</f>
        <v>184.01333099999999</v>
      </c>
      <c r="O57" s="118">
        <f>Chart!AC13</f>
        <v>42.451304999999998</v>
      </c>
      <c r="P57" s="118">
        <f>Chart!AF13</f>
        <v>164.35132999999999</v>
      </c>
      <c r="Q57" s="118">
        <f t="shared" si="7"/>
        <v>192.24073799999999</v>
      </c>
      <c r="R57" s="118">
        <f>Chart!AL13</f>
        <v>250.422256</v>
      </c>
      <c r="S57" s="119">
        <f t="shared" si="8"/>
        <v>2313.828199</v>
      </c>
      <c r="T57" s="24"/>
    </row>
    <row r="58" spans="1:20" s="8" customFormat="1" ht="16" x14ac:dyDescent="0.4">
      <c r="A58" s="17"/>
      <c r="B58" s="38"/>
      <c r="C58" s="45"/>
      <c r="D58" s="45"/>
      <c r="E58" s="46"/>
      <c r="F58" s="117">
        <v>12</v>
      </c>
      <c r="G58" s="118">
        <f>Chart!E14</f>
        <v>85.124723000000003</v>
      </c>
      <c r="H58" s="118">
        <f>Chart!H14</f>
        <v>133.234915</v>
      </c>
      <c r="I58" s="118">
        <f>Chart!K14</f>
        <v>316.721317</v>
      </c>
      <c r="J58" s="118">
        <f>Chart!N14</f>
        <v>332.41236800000001</v>
      </c>
      <c r="K58" s="118">
        <f>Chart!Q14</f>
        <v>285.07475599999998</v>
      </c>
      <c r="L58" s="118">
        <f>Chart!T14</f>
        <v>199.465373</v>
      </c>
      <c r="M58" s="118">
        <f>Chart!W14</f>
        <v>277.10198100000002</v>
      </c>
      <c r="N58" s="118">
        <f>Chart!Z14</f>
        <v>818.91868399999998</v>
      </c>
      <c r="O58" s="118">
        <f>Chart!AC14</f>
        <v>155.33819</v>
      </c>
      <c r="P58" s="118">
        <f>Chart!AF14</f>
        <v>214.61420899999999</v>
      </c>
      <c r="Q58" s="118">
        <f t="shared" si="7"/>
        <v>292.88761299999999</v>
      </c>
      <c r="R58" s="118">
        <f>Chart!AL14</f>
        <v>29.928774000000001</v>
      </c>
      <c r="S58" s="119">
        <f t="shared" si="8"/>
        <v>3140.8229029999998</v>
      </c>
      <c r="T58" s="24"/>
    </row>
    <row r="59" spans="1:20" s="8" customFormat="1" ht="16" x14ac:dyDescent="0.4">
      <c r="A59" s="17"/>
      <c r="B59" s="38"/>
      <c r="C59" s="45"/>
      <c r="D59" s="45"/>
      <c r="E59" s="46"/>
      <c r="F59" s="117">
        <v>13</v>
      </c>
      <c r="G59" s="118">
        <f>Chart!E15</f>
        <v>414.58466299999998</v>
      </c>
      <c r="H59" s="118">
        <f>Chart!H15</f>
        <v>75.785884999999993</v>
      </c>
      <c r="I59" s="118">
        <f>Chart!K15</f>
        <v>75.286339999999996</v>
      </c>
      <c r="J59" s="118">
        <f>Chart!N15</f>
        <v>228.72548699999999</v>
      </c>
      <c r="K59" s="118">
        <f>Chart!Q15</f>
        <v>45.591582000000002</v>
      </c>
      <c r="L59" s="118">
        <f>Chart!T15</f>
        <v>167.541203</v>
      </c>
      <c r="M59" s="118">
        <f>Chart!W15</f>
        <v>107.07464299999999</v>
      </c>
      <c r="N59" s="118">
        <f>Chart!Z15</f>
        <v>163.70290800000001</v>
      </c>
      <c r="O59" s="118">
        <f>Chart!AC15</f>
        <v>93.813269000000005</v>
      </c>
      <c r="P59" s="118">
        <f>Chart!AF15</f>
        <v>147.04460399999999</v>
      </c>
      <c r="Q59" s="118">
        <f t="shared" ref="Q59:Q67" si="9">+N31</f>
        <v>120.93973099999999</v>
      </c>
      <c r="R59" s="118">
        <f>Chart!AL15</f>
        <v>337.84507500000001</v>
      </c>
      <c r="S59" s="119">
        <f t="shared" si="8"/>
        <v>1977.9353899999996</v>
      </c>
      <c r="T59" s="24"/>
    </row>
    <row r="60" spans="1:20" s="8" customFormat="1" ht="16" x14ac:dyDescent="0.4">
      <c r="A60" s="17"/>
      <c r="B60" s="38"/>
      <c r="C60" s="45"/>
      <c r="D60" s="45"/>
      <c r="E60" s="46"/>
      <c r="F60" s="117">
        <v>14</v>
      </c>
      <c r="G60" s="118">
        <f>Chart!E16</f>
        <v>193.46489800000001</v>
      </c>
      <c r="H60" s="118">
        <f>Chart!H16</f>
        <v>215.74686</v>
      </c>
      <c r="I60" s="118">
        <f>Chart!K16</f>
        <v>346.113632</v>
      </c>
      <c r="J60" s="118">
        <f>Chart!N16</f>
        <v>158.442037</v>
      </c>
      <c r="K60" s="118">
        <f>Chart!Q16</f>
        <v>384.21253400000001</v>
      </c>
      <c r="L60" s="118">
        <f>Chart!T16</f>
        <v>405.98637500000001</v>
      </c>
      <c r="M60" s="118">
        <f>Chart!W16</f>
        <v>222.62102100000001</v>
      </c>
      <c r="N60" s="118">
        <f>Chart!Z16</f>
        <v>62.297226999999999</v>
      </c>
      <c r="O60" s="118">
        <f>Chart!AC16</f>
        <v>177.41380000000001</v>
      </c>
      <c r="P60" s="118">
        <f>Chart!AF16</f>
        <v>248.55515299999999</v>
      </c>
      <c r="Q60" s="118">
        <f t="shared" si="9"/>
        <v>478.24211564000001</v>
      </c>
      <c r="R60" s="118">
        <f>Chart!AL16</f>
        <v>357.81986000000001</v>
      </c>
      <c r="S60" s="119">
        <f t="shared" si="8"/>
        <v>3250.9155126399996</v>
      </c>
      <c r="T60" s="32"/>
    </row>
    <row r="61" spans="1:20" s="8" customFormat="1" ht="16" x14ac:dyDescent="0.4">
      <c r="A61" s="17"/>
      <c r="B61" s="38"/>
      <c r="C61" s="45"/>
      <c r="D61" s="45"/>
      <c r="E61" s="46"/>
      <c r="F61" s="117">
        <v>15</v>
      </c>
      <c r="G61" s="118">
        <f>Chart!E17</f>
        <v>397.08713699999998</v>
      </c>
      <c r="H61" s="118">
        <f>Chart!H17</f>
        <v>64.348815000000002</v>
      </c>
      <c r="I61" s="118">
        <f>Chart!K17</f>
        <v>120.89921699999999</v>
      </c>
      <c r="J61" s="118">
        <f>Chart!N17</f>
        <v>344.81893100000002</v>
      </c>
      <c r="K61" s="118">
        <f>Chart!Q17</f>
        <v>106.681922</v>
      </c>
      <c r="L61" s="118">
        <f>Chart!T17</f>
        <v>266.68066900000002</v>
      </c>
      <c r="M61" s="118">
        <f>Chart!W17</f>
        <v>417.08209799999997</v>
      </c>
      <c r="N61" s="118">
        <f>Chart!Z17</f>
        <v>216.128287</v>
      </c>
      <c r="O61" s="118">
        <f>Chart!AC17</f>
        <v>140.61326800000001</v>
      </c>
      <c r="P61" s="118">
        <f>Chart!AF17</f>
        <v>225.96527699999999</v>
      </c>
      <c r="Q61" s="118">
        <f t="shared" si="9"/>
        <v>104.99978299999999</v>
      </c>
      <c r="R61" s="118">
        <f>Chart!AL17</f>
        <v>227.862596</v>
      </c>
      <c r="S61" s="119">
        <f t="shared" si="8"/>
        <v>2633.1680000000001</v>
      </c>
      <c r="T61" s="32"/>
    </row>
    <row r="62" spans="1:20" s="8" customFormat="1" ht="16" x14ac:dyDescent="0.4">
      <c r="A62" s="17"/>
      <c r="B62" s="38"/>
      <c r="C62" s="45"/>
      <c r="D62" s="45"/>
      <c r="E62" s="46"/>
      <c r="F62" s="117">
        <v>16</v>
      </c>
      <c r="G62" s="118">
        <f>Chart!E18</f>
        <v>540.28873899999996</v>
      </c>
      <c r="H62" s="118">
        <f>Chart!H18</f>
        <v>132.51849300000001</v>
      </c>
      <c r="I62" s="118">
        <f>Chart!K18</f>
        <v>546.02242100000001</v>
      </c>
      <c r="J62" s="118">
        <f>Chart!N18</f>
        <v>145.37024099999999</v>
      </c>
      <c r="K62" s="118">
        <f>Chart!Q18</f>
        <v>185.56621000000001</v>
      </c>
      <c r="L62" s="118">
        <f>Chart!T18</f>
        <v>65.290835999999999</v>
      </c>
      <c r="M62" s="118">
        <f>Chart!W18</f>
        <v>227.51342700000001</v>
      </c>
      <c r="N62" s="118">
        <f>Chart!Z18</f>
        <v>113.121183</v>
      </c>
      <c r="O62" s="118">
        <f>Chart!AC18</f>
        <v>376.91360800000001</v>
      </c>
      <c r="P62" s="118">
        <f>Chart!AF18</f>
        <v>48.975073000000002</v>
      </c>
      <c r="Q62" s="118">
        <f t="shared" si="9"/>
        <v>128.72252</v>
      </c>
      <c r="R62" s="118">
        <f>Chart!AL18</f>
        <v>215.554</v>
      </c>
      <c r="S62" s="119">
        <f t="shared" si="8"/>
        <v>2725.8567509999998</v>
      </c>
      <c r="T62" s="27"/>
    </row>
    <row r="63" spans="1:20" s="8" customFormat="1" ht="16" x14ac:dyDescent="0.4">
      <c r="A63" s="17"/>
      <c r="B63" s="38"/>
      <c r="C63" s="45"/>
      <c r="D63" s="45"/>
      <c r="E63" s="46"/>
      <c r="F63" s="117">
        <v>17</v>
      </c>
      <c r="G63" s="118">
        <f>Chart!E19</f>
        <v>149.29672199999999</v>
      </c>
      <c r="H63" s="118">
        <f>Chart!H19</f>
        <v>621.27260000000001</v>
      </c>
      <c r="I63" s="118">
        <f>Chart!K19</f>
        <v>374.842736</v>
      </c>
      <c r="J63" s="118">
        <f>Chart!N19</f>
        <v>430.45997499999999</v>
      </c>
      <c r="K63" s="118">
        <f>Chart!Q19</f>
        <v>128.68476200000001</v>
      </c>
      <c r="L63" s="118">
        <f>Chart!T19</f>
        <v>109.562657</v>
      </c>
      <c r="M63" s="118">
        <f>Chart!W19</f>
        <v>218.940945</v>
      </c>
      <c r="N63" s="118">
        <f>Chart!Z19</f>
        <v>171.20748900000001</v>
      </c>
      <c r="O63" s="118">
        <f>Chart!AC19</f>
        <v>219.464077</v>
      </c>
      <c r="P63" s="118">
        <f>Chart!AF19</f>
        <v>557.05143699999996</v>
      </c>
      <c r="Q63" s="118">
        <f t="shared" si="9"/>
        <v>133.89414400000001</v>
      </c>
      <c r="R63" s="118">
        <f>Chart!AL19</f>
        <v>153.456951</v>
      </c>
      <c r="S63" s="119">
        <f t="shared" si="8"/>
        <v>3268.1344950000002</v>
      </c>
      <c r="T63" s="32"/>
    </row>
    <row r="64" spans="1:20" s="8" customFormat="1" ht="16" x14ac:dyDescent="0.4">
      <c r="A64" s="17"/>
      <c r="B64" s="38"/>
      <c r="C64" s="45"/>
      <c r="D64" s="45"/>
      <c r="E64" s="46"/>
      <c r="F64" s="117">
        <v>18</v>
      </c>
      <c r="G64" s="118">
        <f>Chart!E20</f>
        <v>185.57405499999999</v>
      </c>
      <c r="H64" s="118">
        <f>Chart!H20</f>
        <v>98.037734</v>
      </c>
      <c r="I64" s="118">
        <f>Chart!K20</f>
        <v>315.777894</v>
      </c>
      <c r="J64" s="118">
        <f>Chart!N20</f>
        <v>310.13446900000002</v>
      </c>
      <c r="K64" s="118">
        <f>Chart!Q20</f>
        <v>157.08308099999999</v>
      </c>
      <c r="L64" s="118">
        <f>Chart!T20</f>
        <v>431.97302500000001</v>
      </c>
      <c r="M64" s="118">
        <f>Chart!W20</f>
        <v>304.45443699999998</v>
      </c>
      <c r="N64" s="118">
        <f>Chart!Z20</f>
        <v>293.59698400000002</v>
      </c>
      <c r="O64" s="118">
        <f>Chart!AC20</f>
        <v>199.41613799999999</v>
      </c>
      <c r="P64" s="118">
        <f>Chart!AF20</f>
        <v>62.533681000000001</v>
      </c>
      <c r="Q64" s="118">
        <f t="shared" si="9"/>
        <v>132.38512299999999</v>
      </c>
      <c r="R64" s="118">
        <f>Chart!AL20</f>
        <v>120.93973099999999</v>
      </c>
      <c r="S64" s="119">
        <f t="shared" si="8"/>
        <v>2611.906352</v>
      </c>
      <c r="T64" s="32"/>
    </row>
    <row r="65" spans="1:20" s="8" customFormat="1" ht="16" x14ac:dyDescent="0.4">
      <c r="A65" s="17"/>
      <c r="B65" s="38"/>
      <c r="C65" s="45"/>
      <c r="D65" s="45"/>
      <c r="E65" s="46"/>
      <c r="F65" s="117">
        <v>19</v>
      </c>
      <c r="G65" s="118">
        <f>Chart!E21</f>
        <v>506.21930400000002</v>
      </c>
      <c r="H65" s="118">
        <f>Chart!H21</f>
        <v>14.859641999999999</v>
      </c>
      <c r="I65" s="118">
        <f>Chart!K21</f>
        <v>148.877173</v>
      </c>
      <c r="J65" s="118">
        <f>Chart!N21</f>
        <v>314.29510800000003</v>
      </c>
      <c r="K65" s="118">
        <f>Chart!Q21</f>
        <v>95.025124000000005</v>
      </c>
      <c r="L65" s="118">
        <f>Chart!T21</f>
        <v>110.28142099999999</v>
      </c>
      <c r="M65" s="118">
        <f>Chart!W21</f>
        <v>654.44686200000001</v>
      </c>
      <c r="N65" s="118">
        <f>Chart!Z21</f>
        <v>164.91883300000001</v>
      </c>
      <c r="O65" s="118">
        <f>Chart!AC21</f>
        <v>109.74645</v>
      </c>
      <c r="P65" s="118">
        <f>Chart!AF21</f>
        <v>194.36308299999999</v>
      </c>
      <c r="Q65" s="118">
        <f t="shared" si="9"/>
        <v>172.12056000000001</v>
      </c>
      <c r="R65" s="118">
        <f>Chart!AL21</f>
        <v>478.24211564000001</v>
      </c>
      <c r="S65" s="119">
        <f t="shared" si="8"/>
        <v>2963.3956756399998</v>
      </c>
      <c r="T65" s="32"/>
    </row>
    <row r="66" spans="1:20" s="8" customFormat="1" ht="16" x14ac:dyDescent="0.4">
      <c r="A66" s="17"/>
      <c r="B66" s="38"/>
      <c r="C66" s="45"/>
      <c r="D66" s="45"/>
      <c r="E66" s="46"/>
      <c r="F66" s="117">
        <v>20</v>
      </c>
      <c r="G66" s="118">
        <f>Chart!E22</f>
        <v>116.70328499999999</v>
      </c>
      <c r="H66" s="118">
        <f>Chart!H22</f>
        <v>443.16062199999999</v>
      </c>
      <c r="I66" s="118">
        <f>Chart!K22</f>
        <v>471.696282</v>
      </c>
      <c r="J66" s="118">
        <f>Chart!N22</f>
        <v>167.466635</v>
      </c>
      <c r="K66" s="118">
        <f>Chart!Q22</f>
        <v>185.25446400000001</v>
      </c>
      <c r="L66" s="118">
        <f>Chart!T22</f>
        <v>322.08529299999998</v>
      </c>
      <c r="M66" s="118">
        <f>Chart!W22</f>
        <v>228.243494</v>
      </c>
      <c r="N66" s="118">
        <f>Chart!Z22</f>
        <v>51.025210999999999</v>
      </c>
      <c r="O66" s="118">
        <f>Chart!AC22</f>
        <v>221.888351</v>
      </c>
      <c r="P66" s="118">
        <f>Chart!AF22</f>
        <v>347.01655699999998</v>
      </c>
      <c r="Q66" s="118">
        <f t="shared" si="9"/>
        <v>518.22254599999997</v>
      </c>
      <c r="R66" s="118">
        <f>Chart!AL22</f>
        <v>104.99978299999999</v>
      </c>
      <c r="S66" s="119">
        <f t="shared" si="8"/>
        <v>3177.7625229999999</v>
      </c>
      <c r="T66" s="32"/>
    </row>
    <row r="67" spans="1:20" s="8" customFormat="1" ht="16" x14ac:dyDescent="0.4">
      <c r="A67" s="17"/>
      <c r="B67" s="38"/>
      <c r="C67" s="45"/>
      <c r="D67" s="45"/>
      <c r="E67" s="46"/>
      <c r="F67" s="117">
        <v>21</v>
      </c>
      <c r="G67" s="118">
        <f>Chart!E23</f>
        <v>292.10715699999997</v>
      </c>
      <c r="H67" s="118">
        <f>Chart!H23</f>
        <v>257.59192200000001</v>
      </c>
      <c r="I67" s="118">
        <f>Chart!K23</f>
        <v>390.62912</v>
      </c>
      <c r="J67" s="118">
        <f>Chart!N23</f>
        <v>178.50900200000001</v>
      </c>
      <c r="K67" s="118">
        <f>Chart!Q23</f>
        <v>166.657882</v>
      </c>
      <c r="L67" s="118">
        <f>Chart!T23</f>
        <v>423.332132</v>
      </c>
      <c r="M67" s="118">
        <f>Chart!W23</f>
        <v>339.81229400000001</v>
      </c>
      <c r="N67" s="118">
        <f>Chart!Z23</f>
        <v>190.19046299999999</v>
      </c>
      <c r="O67" s="118">
        <f>Chart!AC23</f>
        <v>408.105231</v>
      </c>
      <c r="P67" s="118">
        <f>Chart!AF23</f>
        <v>303.45136000000002</v>
      </c>
      <c r="Q67" s="118">
        <f t="shared" si="9"/>
        <v>0</v>
      </c>
      <c r="R67" s="118">
        <f>Chart!AL23</f>
        <v>128.72252</v>
      </c>
      <c r="S67" s="119">
        <f t="shared" si="8"/>
        <v>3079.1090829999998</v>
      </c>
      <c r="T67" s="32"/>
    </row>
    <row r="68" spans="1:20" s="8" customFormat="1" ht="16" x14ac:dyDescent="0.4">
      <c r="A68" s="17"/>
      <c r="B68" s="38"/>
      <c r="C68" s="45"/>
      <c r="D68" s="45"/>
      <c r="E68" s="46"/>
      <c r="F68" s="117">
        <v>22</v>
      </c>
      <c r="G68" s="118">
        <f>Chart!E24</f>
        <v>261.60632099999998</v>
      </c>
      <c r="H68" s="118">
        <f>Chart!H24</f>
        <v>-16.341381999999999</v>
      </c>
      <c r="I68" s="118">
        <f>Chart!K24</f>
        <v>556.96970799999997</v>
      </c>
      <c r="J68" s="118">
        <f>Chart!N24</f>
        <v>218.22985700000001</v>
      </c>
      <c r="K68" s="118">
        <f>Chart!Q24</f>
        <v>534.78840100000002</v>
      </c>
      <c r="L68" s="118">
        <f>Chart!T24</f>
        <v>304.93926800000003</v>
      </c>
      <c r="M68" s="118">
        <f>Chart!W24</f>
        <v>253.99575300000001</v>
      </c>
      <c r="N68" s="118">
        <f>Chart!Z24</f>
        <v>122.976871</v>
      </c>
      <c r="O68" s="118">
        <f>Chart!AC24</f>
        <v>184.668826</v>
      </c>
      <c r="P68" s="118">
        <f>Chart!AF24</f>
        <v>336.14278000000002</v>
      </c>
      <c r="Q68" s="118">
        <f t="shared" si="7"/>
        <v>113.720884</v>
      </c>
      <c r="R68" s="118">
        <f>Chart!AL24</f>
        <v>133.89414400000001</v>
      </c>
      <c r="S68" s="119">
        <f t="shared" si="8"/>
        <v>3005.5914309999998</v>
      </c>
      <c r="T68" s="32"/>
    </row>
    <row r="69" spans="1:20" s="8" customFormat="1" ht="16" x14ac:dyDescent="0.4">
      <c r="A69" s="17"/>
      <c r="B69" s="38"/>
      <c r="C69" s="45"/>
      <c r="D69" s="45"/>
      <c r="E69" s="46"/>
      <c r="F69" s="117">
        <v>23</v>
      </c>
      <c r="G69" s="118">
        <f>Chart!E25</f>
        <v>1364.6610619999999</v>
      </c>
      <c r="H69" s="118">
        <f>Chart!H25</f>
        <v>288.94740100000001</v>
      </c>
      <c r="I69" s="118">
        <f>Chart!K25</f>
        <v>566.33129899999994</v>
      </c>
      <c r="J69" s="118">
        <f>Chart!N25</f>
        <v>114.14089800000001</v>
      </c>
      <c r="K69" s="118">
        <f>Chart!Q25</f>
        <v>806.170029</v>
      </c>
      <c r="L69" s="118">
        <f>Chart!T25</f>
        <v>1560.4674649999999</v>
      </c>
      <c r="M69" s="118">
        <f>Chart!W25</f>
        <v>87.457198000000005</v>
      </c>
      <c r="N69" s="118">
        <f>Chart!Z25</f>
        <v>158.53183000000001</v>
      </c>
      <c r="O69" s="118">
        <f>Chart!AC25</f>
        <v>57.292928000000003</v>
      </c>
      <c r="P69" s="118">
        <f>Chart!AF25</f>
        <v>439.42288500000001</v>
      </c>
      <c r="Q69" s="118">
        <f t="shared" si="7"/>
        <v>527.64694199999997</v>
      </c>
      <c r="R69" s="118">
        <f>Chart!AL25</f>
        <v>132.38512299999999</v>
      </c>
      <c r="S69" s="119">
        <f t="shared" si="8"/>
        <v>6103.4550600000002</v>
      </c>
      <c r="T69" s="32"/>
    </row>
    <row r="70" spans="1:20" s="8" customFormat="1" ht="16" x14ac:dyDescent="0.4">
      <c r="A70" s="17"/>
      <c r="B70" s="38"/>
      <c r="C70" s="45"/>
      <c r="D70" s="45"/>
      <c r="E70" s="46"/>
      <c r="F70" s="117">
        <v>24</v>
      </c>
      <c r="G70" s="118">
        <f>Chart!E26</f>
        <v>0</v>
      </c>
      <c r="H70" s="118">
        <f>Chart!H26</f>
        <v>1624.366698</v>
      </c>
      <c r="I70" s="118">
        <f>Chart!K26</f>
        <v>0.65</v>
      </c>
      <c r="J70" s="118">
        <f>Chart!N26</f>
        <v>1416.7410829999999</v>
      </c>
      <c r="K70" s="118">
        <f>Chart!Q26</f>
        <v>1163.0150699999999</v>
      </c>
      <c r="L70" s="118">
        <f>Chart!T26</f>
        <v>0</v>
      </c>
      <c r="M70" s="118">
        <f>Chart!W26</f>
        <v>161.496836</v>
      </c>
      <c r="N70" s="118">
        <f>Chart!Z26</f>
        <v>628.42442600000004</v>
      </c>
      <c r="O70" s="118">
        <f>Chart!AC26</f>
        <v>979.85558800000001</v>
      </c>
      <c r="P70" s="118">
        <f>Chart!AF26</f>
        <v>287.72434800000002</v>
      </c>
      <c r="Q70" s="118">
        <f>Chart!AI26</f>
        <v>134.397042</v>
      </c>
      <c r="R70" s="118">
        <f>Chart!AL26</f>
        <v>172.12056000000001</v>
      </c>
      <c r="S70" s="119">
        <f t="shared" si="8"/>
        <v>6568.7916509999995</v>
      </c>
      <c r="T70" s="32"/>
    </row>
    <row r="71" spans="1:20" s="8" customFormat="1" ht="16" x14ac:dyDescent="0.4">
      <c r="A71" s="17"/>
      <c r="B71" s="38"/>
      <c r="C71" s="45"/>
      <c r="D71" s="45"/>
      <c r="E71" s="46"/>
      <c r="F71" s="117">
        <v>25</v>
      </c>
      <c r="G71" s="118">
        <f>Chart!E27</f>
        <v>0</v>
      </c>
      <c r="H71" s="118">
        <f>Chart!H27</f>
        <v>0</v>
      </c>
      <c r="I71" s="118">
        <f>Chart!K27</f>
        <v>0</v>
      </c>
      <c r="J71" s="118">
        <f>Chart!N27</f>
        <v>0</v>
      </c>
      <c r="K71" s="118">
        <f>Chart!Q27</f>
        <v>0</v>
      </c>
      <c r="L71" s="118">
        <f>Chart!T27</f>
        <v>0</v>
      </c>
      <c r="M71" s="118">
        <f>Chart!W27</f>
        <v>243.873784</v>
      </c>
      <c r="N71" s="118">
        <f>Chart!Z27</f>
        <v>323.26383499999997</v>
      </c>
      <c r="O71" s="118">
        <f>Chart!AC27</f>
        <v>1939.590964</v>
      </c>
      <c r="P71" s="118">
        <f>Chart!AF27</f>
        <v>576.704297</v>
      </c>
      <c r="Q71" s="118">
        <f>Chart!AI27</f>
        <v>717.14660288999994</v>
      </c>
      <c r="R71" s="118">
        <f>Chart!AL27</f>
        <v>518.22254599999997</v>
      </c>
      <c r="S71" s="119">
        <f t="shared" si="8"/>
        <v>4318.8020288900007</v>
      </c>
      <c r="T71" s="32"/>
    </row>
    <row r="72" spans="1:20" s="8" customFormat="1" ht="16" x14ac:dyDescent="0.4">
      <c r="A72" s="17"/>
      <c r="B72" s="38"/>
      <c r="C72" s="45"/>
      <c r="D72" s="45"/>
      <c r="E72" s="46"/>
      <c r="F72" s="117">
        <v>26</v>
      </c>
      <c r="G72" s="118">
        <f>Chart!E28</f>
        <v>0</v>
      </c>
      <c r="H72" s="118">
        <f>Chart!H28</f>
        <v>0</v>
      </c>
      <c r="I72" s="118">
        <f>Chart!K28</f>
        <v>0</v>
      </c>
      <c r="J72" s="118">
        <f>Chart!N28</f>
        <v>0</v>
      </c>
      <c r="K72" s="118">
        <f>Chart!Q28</f>
        <v>0</v>
      </c>
      <c r="L72" s="118">
        <f>Chart!T28</f>
        <v>0</v>
      </c>
      <c r="M72" s="118">
        <f>Chart!W28</f>
        <v>145.97661400000001</v>
      </c>
      <c r="N72" s="118">
        <f>Chart!Z28</f>
        <v>1427.958891</v>
      </c>
      <c r="O72" s="118">
        <f>Chart!AC28</f>
        <v>0</v>
      </c>
      <c r="P72" s="118">
        <f>Chart!AF28</f>
        <v>99.571832000000001</v>
      </c>
      <c r="Q72" s="118">
        <f>Chart!AI28</f>
        <v>2114.42189418</v>
      </c>
      <c r="R72" s="118">
        <f>Chart!AL28</f>
        <v>0</v>
      </c>
      <c r="S72" s="119">
        <f t="shared" si="8"/>
        <v>3787.92923118</v>
      </c>
      <c r="T72" s="20"/>
    </row>
    <row r="73" spans="1:20" s="8" customFormat="1" ht="16" x14ac:dyDescent="0.4">
      <c r="A73" s="17"/>
      <c r="B73" s="38"/>
      <c r="C73" s="45"/>
      <c r="D73" s="45"/>
      <c r="E73" s="46"/>
      <c r="F73" s="117">
        <v>27</v>
      </c>
      <c r="G73" s="118">
        <f>Chart!E29</f>
        <v>0</v>
      </c>
      <c r="H73" s="118">
        <f>Chart!H29</f>
        <v>0</v>
      </c>
      <c r="I73" s="118">
        <f>Chart!K29</f>
        <v>0</v>
      </c>
      <c r="J73" s="118">
        <f>Chart!N29</f>
        <v>0</v>
      </c>
      <c r="K73" s="118">
        <f>Chart!Q29</f>
        <v>0</v>
      </c>
      <c r="L73" s="118">
        <f>Chart!T29</f>
        <v>0</v>
      </c>
      <c r="M73" s="118">
        <f>Chart!W29</f>
        <v>2067.7498660000001</v>
      </c>
      <c r="N73" s="118">
        <f>Chart!Z29</f>
        <v>0</v>
      </c>
      <c r="O73" s="118">
        <f>Chart!AC29</f>
        <v>0</v>
      </c>
      <c r="P73" s="118">
        <f>Chart!AF29</f>
        <v>2483.8443200000002</v>
      </c>
      <c r="Q73" s="118">
        <f>Chart!AI29</f>
        <v>0</v>
      </c>
      <c r="R73" s="118">
        <f>Chart!AL29</f>
        <v>0</v>
      </c>
      <c r="S73" s="119">
        <f t="shared" si="8"/>
        <v>4551.5941860000003</v>
      </c>
      <c r="T73" s="24"/>
    </row>
    <row r="74" spans="1:20" s="8" customFormat="1" ht="16" x14ac:dyDescent="0.4">
      <c r="A74" s="17"/>
      <c r="B74" s="38"/>
      <c r="C74" s="45"/>
      <c r="D74" s="45"/>
      <c r="E74" s="46"/>
      <c r="F74" s="117" t="s">
        <v>48</v>
      </c>
      <c r="G74" s="120">
        <f>SUM(G47:G73)</f>
        <v>7165.1066610000007</v>
      </c>
      <c r="H74" s="120">
        <f t="shared" ref="H74:S74" si="10">SUM(H47:H73)</f>
        <v>6072.4375540000001</v>
      </c>
      <c r="I74" s="120">
        <f t="shared" si="10"/>
        <v>6047.7187079999985</v>
      </c>
      <c r="J74" s="120">
        <f t="shared" si="10"/>
        <v>5877.2440809999989</v>
      </c>
      <c r="K74" s="120">
        <f t="shared" si="10"/>
        <v>6745.9861529999998</v>
      </c>
      <c r="L74" s="120">
        <f t="shared" si="10"/>
        <v>6104.9562989999995</v>
      </c>
      <c r="M74" s="120">
        <f t="shared" si="10"/>
        <v>7897.0777550000012</v>
      </c>
      <c r="N74" s="120">
        <f t="shared" si="10"/>
        <v>6645.1764110000004</v>
      </c>
      <c r="O74" s="120">
        <f t="shared" si="10"/>
        <v>6864.1550450000004</v>
      </c>
      <c r="P74" s="120">
        <f t="shared" si="10"/>
        <v>8235.7460619999983</v>
      </c>
      <c r="Q74" s="120">
        <f t="shared" si="10"/>
        <v>8735.766193710002</v>
      </c>
      <c r="R74" s="120">
        <f t="shared" si="10"/>
        <v>5347.7821487500005</v>
      </c>
      <c r="S74" s="121">
        <f t="shared" si="10"/>
        <v>81739.153071459994</v>
      </c>
      <c r="T74" s="24"/>
    </row>
    <row r="75" spans="1:20" s="8" customFormat="1" ht="16" x14ac:dyDescent="0.4">
      <c r="A75" s="17"/>
      <c r="B75" s="38"/>
      <c r="C75" s="45"/>
      <c r="D75" s="45"/>
      <c r="E75" s="46"/>
      <c r="F75" s="114" t="s">
        <v>26</v>
      </c>
      <c r="N75" s="38"/>
      <c r="O75" s="38"/>
      <c r="P75" s="38"/>
      <c r="Q75" s="38"/>
      <c r="R75" s="38"/>
      <c r="S75" s="27" t="s">
        <v>35</v>
      </c>
      <c r="T75" s="24"/>
    </row>
    <row r="76" spans="1:20" s="8" customFormat="1" ht="16" x14ac:dyDescent="0.4">
      <c r="A76" s="17"/>
      <c r="B76" s="38"/>
      <c r="C76" s="45"/>
      <c r="D76" s="45"/>
      <c r="E76" s="46"/>
      <c r="F76" s="115" t="s">
        <v>49</v>
      </c>
      <c r="G76" s="115" t="s">
        <v>37</v>
      </c>
      <c r="H76" s="115" t="s">
        <v>38</v>
      </c>
      <c r="I76" s="115" t="s">
        <v>39</v>
      </c>
      <c r="J76" s="115" t="s">
        <v>40</v>
      </c>
      <c r="K76" s="115" t="s">
        <v>6</v>
      </c>
      <c r="L76" s="115" t="s">
        <v>41</v>
      </c>
      <c r="M76" s="115" t="s">
        <v>42</v>
      </c>
      <c r="N76" s="115" t="s">
        <v>43</v>
      </c>
      <c r="O76" s="115" t="s">
        <v>44</v>
      </c>
      <c r="P76" s="115" t="s">
        <v>45</v>
      </c>
      <c r="Q76" s="115" t="s">
        <v>46</v>
      </c>
      <c r="R76" s="122" t="s">
        <v>47</v>
      </c>
      <c r="S76" s="116" t="s">
        <v>14</v>
      </c>
      <c r="T76" s="24"/>
    </row>
    <row r="77" spans="1:20" s="8" customFormat="1" ht="16" x14ac:dyDescent="0.4">
      <c r="A77" s="17"/>
      <c r="B77" s="38"/>
      <c r="C77" s="45"/>
      <c r="D77" s="45"/>
      <c r="E77" s="46"/>
      <c r="F77" s="123" t="s">
        <v>50</v>
      </c>
      <c r="G77" s="118">
        <f>C8</f>
        <v>5840.8360960000009</v>
      </c>
      <c r="H77" s="118">
        <f t="shared" ref="H77:R77" si="11">D8</f>
        <v>6384.403217000001</v>
      </c>
      <c r="I77" s="118">
        <f t="shared" si="11"/>
        <v>6581.2263720000001</v>
      </c>
      <c r="J77" s="118">
        <f t="shared" si="11"/>
        <v>6839.8031820000006</v>
      </c>
      <c r="K77" s="118">
        <f t="shared" si="11"/>
        <v>6597.9354540000004</v>
      </c>
      <c r="L77" s="118">
        <f t="shared" si="11"/>
        <v>6706.5427010000003</v>
      </c>
      <c r="M77" s="118">
        <f t="shared" si="11"/>
        <v>7295.3604329999998</v>
      </c>
      <c r="N77" s="118">
        <f t="shared" si="11"/>
        <v>7569.0930229999994</v>
      </c>
      <c r="O77" s="118">
        <f t="shared" si="11"/>
        <v>7763.1358289999998</v>
      </c>
      <c r="P77" s="118">
        <f t="shared" si="11"/>
        <v>8374.952612000001</v>
      </c>
      <c r="Q77" s="118">
        <f t="shared" si="11"/>
        <v>8441.1287429999993</v>
      </c>
      <c r="R77" s="118">
        <f t="shared" si="11"/>
        <v>6605.5799399999996</v>
      </c>
      <c r="S77" s="124">
        <f>SUM(G77:R77)</f>
        <v>84999.997602000003</v>
      </c>
      <c r="T77" s="24"/>
    </row>
    <row r="78" spans="1:20" s="8" customFormat="1" ht="16" x14ac:dyDescent="0.4">
      <c r="A78" s="17"/>
      <c r="B78" s="38"/>
      <c r="C78" s="45"/>
      <c r="D78" s="45"/>
      <c r="E78" s="46"/>
      <c r="F78" s="123" t="s">
        <v>51</v>
      </c>
      <c r="G78" s="118">
        <f>G74</f>
        <v>7165.1066610000007</v>
      </c>
      <c r="H78" s="118">
        <f t="shared" ref="H78:R78" si="12">H74</f>
        <v>6072.4375540000001</v>
      </c>
      <c r="I78" s="118">
        <f t="shared" si="12"/>
        <v>6047.7187079999985</v>
      </c>
      <c r="J78" s="118">
        <f t="shared" si="12"/>
        <v>5877.2440809999989</v>
      </c>
      <c r="K78" s="118">
        <f t="shared" si="12"/>
        <v>6745.9861529999998</v>
      </c>
      <c r="L78" s="118">
        <f t="shared" si="12"/>
        <v>6104.9562989999995</v>
      </c>
      <c r="M78" s="118">
        <f t="shared" si="12"/>
        <v>7897.0777550000012</v>
      </c>
      <c r="N78" s="118">
        <f t="shared" si="12"/>
        <v>6645.1764110000004</v>
      </c>
      <c r="O78" s="118">
        <f t="shared" si="12"/>
        <v>6864.1550450000004</v>
      </c>
      <c r="P78" s="118">
        <f t="shared" si="12"/>
        <v>8235.7460619999983</v>
      </c>
      <c r="Q78" s="118">
        <f t="shared" si="12"/>
        <v>8735.766193710002</v>
      </c>
      <c r="R78" s="118">
        <f t="shared" si="12"/>
        <v>5347.7821487500005</v>
      </c>
      <c r="S78" s="124">
        <f>SUM(G78:R78)</f>
        <v>81739.153071459994</v>
      </c>
      <c r="T78" s="24"/>
    </row>
    <row r="79" spans="1:20" s="8" customFormat="1" ht="16" x14ac:dyDescent="0.4">
      <c r="A79" s="17"/>
      <c r="B79" s="38"/>
      <c r="C79" s="45"/>
      <c r="D79" s="45"/>
      <c r="E79" s="46"/>
      <c r="F79" s="123" t="s">
        <v>26</v>
      </c>
      <c r="G79" s="125">
        <f>+G78/G77</f>
        <v>1.2267261986527758</v>
      </c>
      <c r="H79" s="125">
        <f t="shared" ref="H79:S79" si="13">+H78/H77</f>
        <v>0.95113628441115405</v>
      </c>
      <c r="I79" s="125">
        <f t="shared" si="13"/>
        <v>0.91893491670947169</v>
      </c>
      <c r="J79" s="125">
        <f t="shared" si="13"/>
        <v>0.85927093581681935</v>
      </c>
      <c r="K79" s="125">
        <f t="shared" si="13"/>
        <v>1.0224389432167367</v>
      </c>
      <c r="L79" s="125">
        <f t="shared" si="13"/>
        <v>0.91029858023414967</v>
      </c>
      <c r="M79" s="125">
        <f t="shared" si="13"/>
        <v>1.0824794508134485</v>
      </c>
      <c r="N79" s="125">
        <f t="shared" si="13"/>
        <v>0.87793562462602603</v>
      </c>
      <c r="O79" s="125">
        <f t="shared" si="13"/>
        <v>0.88419875630131795</v>
      </c>
      <c r="P79" s="125">
        <f t="shared" si="13"/>
        <v>0.98337822833760979</v>
      </c>
      <c r="Q79" s="125">
        <f t="shared" si="13"/>
        <v>1.034904982459169</v>
      </c>
      <c r="R79" s="125">
        <f t="shared" si="13"/>
        <v>0.80958556210433219</v>
      </c>
      <c r="S79" s="126">
        <f t="shared" si="13"/>
        <v>0.96163712208783303</v>
      </c>
      <c r="T79" s="24"/>
    </row>
    <row r="80" spans="1:20" s="8" customFormat="1" ht="16" x14ac:dyDescent="0.4">
      <c r="A80" s="17"/>
      <c r="B80" s="37"/>
      <c r="C80" s="38"/>
      <c r="D80" s="38"/>
      <c r="E80" s="4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38"/>
      <c r="R80" s="38"/>
      <c r="S80" s="38"/>
      <c r="T80" s="24"/>
    </row>
    <row r="81" spans="1:20" s="8" customFormat="1" ht="16" x14ac:dyDescent="0.4">
      <c r="A81" s="17"/>
      <c r="B81" s="37"/>
      <c r="C81" s="38"/>
      <c r="D81" s="38"/>
      <c r="E81" s="4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52"/>
      <c r="Q81" s="38"/>
      <c r="R81" s="38"/>
      <c r="S81" s="38"/>
      <c r="T81" s="24"/>
    </row>
    <row r="82" spans="1:20" s="8" customFormat="1" ht="16" x14ac:dyDescent="0.4">
      <c r="A82" s="17"/>
      <c r="B82" s="37"/>
      <c r="C82" s="38"/>
      <c r="D82" s="38"/>
      <c r="E82" s="38"/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24"/>
    </row>
    <row r="83" spans="1:20" s="8" customFormat="1" ht="16" x14ac:dyDescent="0.4">
      <c r="A83" s="17"/>
      <c r="B83" s="37"/>
      <c r="C83" s="38"/>
      <c r="D83" s="38"/>
      <c r="E83" s="38"/>
      <c r="F83" s="37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53"/>
      <c r="R83" s="53"/>
      <c r="S83" s="53"/>
      <c r="T83" s="41"/>
    </row>
    <row r="84" spans="1:20" s="8" customFormat="1" ht="16" x14ac:dyDescent="0.4">
      <c r="A84" s="17"/>
      <c r="B84" s="37"/>
      <c r="C84" s="38"/>
      <c r="D84" s="38"/>
      <c r="E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24"/>
    </row>
    <row r="85" spans="1:20" s="8" customFormat="1" ht="16" x14ac:dyDescent="0.4">
      <c r="A85" s="17"/>
      <c r="B85" s="37"/>
      <c r="C85" s="38"/>
      <c r="D85"/>
      <c r="E85"/>
      <c r="F85"/>
      <c r="G85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24"/>
    </row>
    <row r="86" spans="1:20" s="8" customFormat="1" ht="16" x14ac:dyDescent="0.4">
      <c r="A86" s="17"/>
      <c r="B86" s="37"/>
      <c r="C86" s="38"/>
      <c r="D86"/>
      <c r="E86" s="42"/>
      <c r="F86" s="42"/>
      <c r="G86" s="43"/>
      <c r="I86" s="52"/>
      <c r="J86" s="52"/>
      <c r="O86" s="38"/>
      <c r="P86" s="38"/>
      <c r="Q86" s="38"/>
      <c r="R86" s="38"/>
      <c r="S86" s="38"/>
      <c r="T86" s="27"/>
    </row>
    <row r="87" spans="1:20" s="8" customFormat="1" ht="16" x14ac:dyDescent="0.4">
      <c r="A87" s="17"/>
      <c r="B87" s="37"/>
      <c r="C87" s="38"/>
      <c r="D87"/>
      <c r="E87" s="42"/>
      <c r="F87" s="42"/>
      <c r="G87" s="43"/>
      <c r="H87" s="38"/>
      <c r="I87" s="44"/>
      <c r="J87" s="44"/>
      <c r="K87" s="38"/>
      <c r="L87" s="38"/>
      <c r="M87" s="38"/>
      <c r="N87" s="38"/>
      <c r="O87" s="38"/>
      <c r="P87" s="38"/>
      <c r="Q87" s="38"/>
      <c r="R87" s="38"/>
      <c r="S87" s="38"/>
      <c r="T87" s="24"/>
    </row>
    <row r="88" spans="1:20" s="8" customFormat="1" ht="16" x14ac:dyDescent="0.4">
      <c r="A88" s="17"/>
      <c r="B88" s="37"/>
      <c r="C88" s="38"/>
      <c r="D88" s="38"/>
      <c r="E88" s="38"/>
      <c r="F88" s="37"/>
      <c r="G88" s="39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32"/>
    </row>
    <row r="89" spans="1:20" s="8" customFormat="1" ht="16" x14ac:dyDescent="0.4">
      <c r="A89" s="17"/>
      <c r="B89" s="48"/>
      <c r="C89" s="49"/>
      <c r="D89" s="49"/>
      <c r="E89" s="49"/>
      <c r="F89" s="48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20"/>
    </row>
    <row r="90" spans="1:20" s="8" customFormat="1" ht="16" x14ac:dyDescent="0.4">
      <c r="A90" s="17"/>
      <c r="B90" s="37"/>
      <c r="C90" s="38"/>
      <c r="D90" s="38"/>
      <c r="E90" s="38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24"/>
    </row>
    <row r="91" spans="1:20" s="8" customFormat="1" ht="16" x14ac:dyDescent="0.4">
      <c r="A91" s="17"/>
      <c r="B91" s="37"/>
      <c r="C91" s="38"/>
      <c r="D91"/>
      <c r="E91"/>
      <c r="F91"/>
      <c r="G91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24"/>
    </row>
    <row r="92" spans="1:20" s="8" customFormat="1" ht="16" x14ac:dyDescent="0.4">
      <c r="A92" s="17"/>
      <c r="B92" s="37"/>
      <c r="C92" s="38"/>
      <c r="D92"/>
      <c r="E92" s="50"/>
      <c r="F92" s="50"/>
      <c r="G92" s="50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24"/>
    </row>
    <row r="93" spans="1:20" s="8" customFormat="1" ht="16" x14ac:dyDescent="0.4">
      <c r="A93" s="17"/>
      <c r="B93" s="37"/>
      <c r="C93" s="38"/>
      <c r="D93" s="38"/>
      <c r="E93" s="38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24"/>
    </row>
    <row r="94" spans="1:20" s="8" customFormat="1" ht="16" x14ac:dyDescent="0.4">
      <c r="A94" s="17"/>
      <c r="B94" s="37"/>
      <c r="C94" s="38"/>
      <c r="D94" s="38"/>
      <c r="E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24"/>
    </row>
    <row r="95" spans="1:20" s="8" customFormat="1" ht="16" x14ac:dyDescent="0.4">
      <c r="A95" s="17"/>
      <c r="B95" s="37"/>
      <c r="C95" s="38"/>
      <c r="D95" s="37"/>
      <c r="E95" s="38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24"/>
    </row>
    <row r="96" spans="1:20" s="8" customFormat="1" ht="16" x14ac:dyDescent="0.4">
      <c r="A96" s="17"/>
      <c r="B96" s="37"/>
      <c r="C96" s="38"/>
      <c r="D96" s="38"/>
      <c r="E96" s="4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38"/>
      <c r="R96" s="38"/>
      <c r="S96" s="38"/>
      <c r="T96" s="27"/>
    </row>
    <row r="97" spans="1:20" s="8" customFormat="1" ht="16" x14ac:dyDescent="0.4">
      <c r="A97" s="17"/>
      <c r="B97" s="37"/>
      <c r="C97" s="38"/>
      <c r="D97" s="38"/>
      <c r="E97" s="4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52"/>
      <c r="Q97" s="38"/>
      <c r="R97" s="38"/>
      <c r="S97" s="38"/>
      <c r="T97" s="24"/>
    </row>
    <row r="98" spans="1:20" s="8" customFormat="1" ht="16" x14ac:dyDescent="0.4">
      <c r="A98" s="17"/>
      <c r="B98" s="37"/>
      <c r="C98" s="38"/>
      <c r="D98" s="38"/>
      <c r="E98" s="38"/>
      <c r="F98" s="37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24"/>
    </row>
    <row r="99" spans="1:20" s="8" customFormat="1" ht="16" x14ac:dyDescent="0.4">
      <c r="A99" s="17"/>
      <c r="B99" s="37"/>
      <c r="C99" s="38"/>
      <c r="D99" s="38"/>
      <c r="E99" s="38"/>
      <c r="F99" s="37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24"/>
    </row>
    <row r="100" spans="1:20" s="8" customFormat="1" ht="16" x14ac:dyDescent="0.4">
      <c r="A100" s="17"/>
      <c r="B100" s="37"/>
      <c r="C100" s="38"/>
      <c r="D100" s="38"/>
      <c r="E100" s="38"/>
      <c r="F100" s="37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53"/>
      <c r="R100" s="53"/>
      <c r="S100" s="53"/>
      <c r="T100" s="41"/>
    </row>
    <row r="101" spans="1:20" s="8" customFormat="1" ht="16" x14ac:dyDescent="0.4">
      <c r="A101" s="17"/>
      <c r="B101" s="37"/>
      <c r="C101" s="38"/>
      <c r="D101" s="38"/>
      <c r="E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24"/>
    </row>
    <row r="102" spans="1:20" s="8" customFormat="1" ht="16" x14ac:dyDescent="0.4">
      <c r="A102" s="17"/>
      <c r="B102" s="37"/>
      <c r="C102" s="38"/>
      <c r="D102"/>
      <c r="E102"/>
      <c r="F102"/>
      <c r="G102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24"/>
    </row>
    <row r="103" spans="1:20" s="8" customFormat="1" ht="16" x14ac:dyDescent="0.4">
      <c r="A103" s="17"/>
      <c r="B103" s="37"/>
      <c r="C103" s="38"/>
      <c r="D103"/>
      <c r="E103" s="42"/>
      <c r="F103" s="42"/>
      <c r="G103" s="43"/>
      <c r="H103" s="38"/>
      <c r="I103" s="44"/>
      <c r="J103" s="44"/>
      <c r="K103" s="54"/>
      <c r="L103" s="54"/>
      <c r="M103" s="38"/>
      <c r="N103" s="38"/>
      <c r="O103" s="38"/>
      <c r="P103" s="38"/>
      <c r="Q103" s="38"/>
      <c r="R103" s="38"/>
      <c r="S103" s="38"/>
      <c r="T103" s="24"/>
    </row>
    <row r="104" spans="1:20" s="8" customFormat="1" ht="16" x14ac:dyDescent="0.4">
      <c r="A104" s="17"/>
      <c r="B104" s="37"/>
      <c r="C104" s="38"/>
      <c r="D104"/>
      <c r="E104" s="42"/>
      <c r="F104" s="42"/>
      <c r="G104" s="43"/>
      <c r="H104" s="38"/>
      <c r="I104" s="44"/>
      <c r="J104" s="44"/>
      <c r="K104" s="54"/>
      <c r="L104" s="54"/>
      <c r="M104" s="38"/>
      <c r="N104" s="38"/>
      <c r="O104" s="38"/>
      <c r="P104" s="38"/>
      <c r="Q104" s="38"/>
      <c r="R104" s="38"/>
      <c r="S104" s="38"/>
      <c r="T104" s="24"/>
    </row>
    <row r="105" spans="1:20" s="8" customFormat="1" ht="16.5" thickBot="1" x14ac:dyDescent="0.45">
      <c r="A105" s="55"/>
      <c r="B105" s="56"/>
      <c r="C105" s="57"/>
      <c r="D105" s="57"/>
      <c r="E105" s="57"/>
      <c r="F105" s="56"/>
      <c r="G105" s="58"/>
      <c r="H105" s="59"/>
      <c r="I105" s="59"/>
      <c r="J105" s="59"/>
      <c r="K105" s="59"/>
      <c r="L105" s="59"/>
      <c r="M105" s="59"/>
      <c r="N105" s="59"/>
      <c r="O105" s="57"/>
      <c r="P105" s="57"/>
      <c r="Q105" s="57"/>
      <c r="R105" s="57"/>
      <c r="S105" s="57"/>
      <c r="T105" s="60"/>
    </row>
    <row r="106" spans="1:20" s="8" customFormat="1" ht="14.4" customHeight="1" x14ac:dyDescent="0.35">
      <c r="A106" s="14"/>
      <c r="B106" s="61"/>
      <c r="C106" s="11"/>
      <c r="D106" s="49"/>
      <c r="E106" s="49"/>
      <c r="F106" s="48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20"/>
    </row>
    <row r="107" spans="1:20" s="8" customFormat="1" ht="14.4" customHeight="1" x14ac:dyDescent="0.4">
      <c r="A107" s="17"/>
      <c r="B107" s="48"/>
      <c r="C107" s="49"/>
      <c r="D107" s="49"/>
      <c r="E107" s="49"/>
      <c r="F107" s="48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20"/>
    </row>
    <row r="108" spans="1:20" s="8" customFormat="1" ht="14.4" customHeight="1" x14ac:dyDescent="0.4">
      <c r="A108" s="17"/>
      <c r="B108" s="48"/>
      <c r="C108" s="49"/>
      <c r="D108" s="49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9"/>
      <c r="S108" s="49"/>
      <c r="T108" s="20"/>
    </row>
    <row r="109" spans="1:20" s="8" customFormat="1" ht="14.4" customHeight="1" x14ac:dyDescent="0.4">
      <c r="A109" s="17"/>
      <c r="B109" s="48"/>
      <c r="C109" s="49"/>
      <c r="D109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9"/>
      <c r="S109" s="49"/>
      <c r="T109" s="20"/>
    </row>
    <row r="110" spans="1:20" s="8" customFormat="1" ht="14.4" customHeight="1" x14ac:dyDescent="0.4">
      <c r="A110" s="17"/>
      <c r="B110" s="48"/>
      <c r="C110" s="49"/>
      <c r="D110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9"/>
      <c r="S110" s="49"/>
      <c r="T110" s="20"/>
    </row>
    <row r="111" spans="1:20" s="8" customFormat="1" ht="14.4" customHeight="1" x14ac:dyDescent="0.4">
      <c r="A111" s="17"/>
      <c r="B111" s="48"/>
      <c r="C111" s="49"/>
      <c r="D111" s="62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49"/>
      <c r="S111" s="49"/>
      <c r="T111" s="20"/>
    </row>
    <row r="112" spans="1:20" s="8" customFormat="1" ht="14.4" customHeight="1" x14ac:dyDescent="0.4">
      <c r="A112" s="17"/>
      <c r="B112" s="48"/>
      <c r="C112" s="49"/>
      <c r="D112" s="62"/>
      <c r="E112" s="49"/>
      <c r="F112" s="48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20"/>
    </row>
    <row r="113" spans="1:20" s="25" customFormat="1" ht="14.4" customHeight="1" x14ac:dyDescent="0.4">
      <c r="A113" s="34"/>
      <c r="B113" s="64"/>
      <c r="C113" s="65"/>
      <c r="D113" s="42"/>
      <c r="E113" s="65"/>
      <c r="F113" s="64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6"/>
    </row>
    <row r="114" spans="1:20" s="25" customFormat="1" ht="14.4" customHeight="1" x14ac:dyDescent="0.4">
      <c r="A114" s="34"/>
      <c r="B114" s="64"/>
      <c r="C114" s="65"/>
      <c r="D114" s="42"/>
      <c r="E114" s="65"/>
      <c r="F114" s="64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6"/>
    </row>
    <row r="115" spans="1:20" s="71" customFormat="1" ht="14.4" customHeight="1" x14ac:dyDescent="0.4">
      <c r="A115" s="67"/>
      <c r="B115" s="68"/>
      <c r="C115" s="63"/>
      <c r="D115" s="69"/>
      <c r="E115" s="63"/>
      <c r="F115" s="68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70"/>
    </row>
    <row r="116" spans="1:20" s="8" customFormat="1" ht="14.4" customHeight="1" x14ac:dyDescent="0.4">
      <c r="A116" s="17"/>
      <c r="B116" s="48"/>
      <c r="C116" s="49"/>
      <c r="D116" s="62"/>
      <c r="E116" s="49"/>
      <c r="F116" s="48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20"/>
    </row>
    <row r="117" spans="1:20" s="8" customFormat="1" ht="14.4" customHeight="1" x14ac:dyDescent="0.4">
      <c r="A117" s="17"/>
      <c r="B117" s="48"/>
      <c r="C117" s="49"/>
      <c r="D117" s="62"/>
      <c r="E117" s="49"/>
      <c r="F117" s="48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20"/>
    </row>
    <row r="118" spans="1:20" s="8" customFormat="1" ht="14.4" customHeight="1" x14ac:dyDescent="0.4">
      <c r="A118" s="17"/>
      <c r="B118" s="48"/>
      <c r="C118" s="49"/>
      <c r="D118" s="49"/>
      <c r="E118" s="49"/>
      <c r="F118" s="48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20"/>
    </row>
    <row r="119" spans="1:20" s="8" customFormat="1" ht="16" x14ac:dyDescent="0.4">
      <c r="A119" s="17"/>
      <c r="B119" s="37"/>
      <c r="C119" s="38"/>
      <c r="D119" s="38"/>
      <c r="E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24"/>
    </row>
    <row r="120" spans="1:20" s="8" customFormat="1" ht="16" x14ac:dyDescent="0.4">
      <c r="A120" s="17"/>
      <c r="B120" s="37"/>
      <c r="C120" s="38"/>
      <c r="D120"/>
      <c r="E120" s="4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24"/>
    </row>
    <row r="121" spans="1:20" s="8" customFormat="1" ht="16" x14ac:dyDescent="0.4">
      <c r="A121" s="17"/>
      <c r="B121" s="37"/>
      <c r="C121" s="38"/>
      <c r="D121"/>
      <c r="E121" s="4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24"/>
    </row>
    <row r="122" spans="1:20" s="75" customFormat="1" ht="16" x14ac:dyDescent="0.4">
      <c r="A122" s="72"/>
      <c r="B122" s="73"/>
      <c r="C122" s="62"/>
      <c r="D122" s="62"/>
      <c r="E122" s="62"/>
      <c r="F122" s="73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74"/>
    </row>
    <row r="123" spans="1:20" s="71" customFormat="1" ht="16" x14ac:dyDescent="0.4">
      <c r="A123" s="67"/>
      <c r="B123" s="76"/>
      <c r="C123" s="69"/>
      <c r="D123" s="69"/>
      <c r="E123" s="69"/>
      <c r="F123" s="76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77"/>
    </row>
    <row r="124" spans="1:20" s="71" customFormat="1" ht="16" x14ac:dyDescent="0.4">
      <c r="A124" s="67"/>
      <c r="B124" s="76"/>
      <c r="C124" s="69"/>
      <c r="D124" s="69"/>
      <c r="E124" s="69"/>
      <c r="F124" s="76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77"/>
    </row>
    <row r="125" spans="1:20" s="71" customFormat="1" ht="16" x14ac:dyDescent="0.4">
      <c r="A125" s="67"/>
      <c r="B125" s="76"/>
      <c r="C125" s="69"/>
      <c r="D125" s="69"/>
      <c r="E125" s="69"/>
      <c r="F125" s="76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77"/>
    </row>
    <row r="126" spans="1:20" s="71" customFormat="1" ht="16" x14ac:dyDescent="0.4">
      <c r="A126" s="67"/>
      <c r="B126" s="76"/>
      <c r="C126" s="69"/>
      <c r="D126" s="69"/>
      <c r="E126" s="69"/>
      <c r="F126" s="76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77"/>
    </row>
    <row r="127" spans="1:20" s="8" customFormat="1" ht="16" x14ac:dyDescent="0.4">
      <c r="A127" s="17"/>
      <c r="B127" s="37"/>
      <c r="C127" s="38"/>
      <c r="D127" s="38"/>
      <c r="E127" s="38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24"/>
    </row>
    <row r="128" spans="1:20" s="8" customFormat="1" ht="16" x14ac:dyDescent="0.4">
      <c r="A128" s="17"/>
      <c r="B128" s="37"/>
      <c r="C128" s="38"/>
      <c r="D128"/>
      <c r="E128"/>
      <c r="F128"/>
      <c r="G12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24"/>
    </row>
    <row r="129" spans="1:20" s="8" customFormat="1" ht="16" x14ac:dyDescent="0.4">
      <c r="A129" s="17"/>
      <c r="B129" s="37"/>
      <c r="C129" s="38"/>
      <c r="D129"/>
      <c r="E129" s="78"/>
      <c r="F129" s="78"/>
      <c r="G129" s="7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24"/>
    </row>
    <row r="130" spans="1:20" s="8" customFormat="1" ht="16" x14ac:dyDescent="0.4">
      <c r="A130" s="17"/>
      <c r="B130" s="37"/>
      <c r="C130" s="38"/>
      <c r="D130" s="38"/>
      <c r="E130" s="38"/>
      <c r="F130" s="37"/>
      <c r="G130" s="79"/>
      <c r="O130" s="38"/>
      <c r="P130" s="38"/>
      <c r="Q130" s="38"/>
      <c r="R130" s="38"/>
      <c r="S130" s="38"/>
      <c r="T130" s="27"/>
    </row>
    <row r="131" spans="1:20" s="8" customFormat="1" ht="14.4" customHeight="1" x14ac:dyDescent="0.35">
      <c r="A131" s="36"/>
      <c r="B131" s="48"/>
      <c r="C131" s="49"/>
      <c r="D131" s="49"/>
      <c r="E131" s="49"/>
      <c r="F131" s="48"/>
      <c r="G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20"/>
    </row>
    <row r="132" spans="1:20" s="8" customFormat="1" ht="16" x14ac:dyDescent="0.4">
      <c r="A132" s="17"/>
      <c r="B132" s="37"/>
      <c r="C132" s="38"/>
      <c r="D132" s="38"/>
      <c r="E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24"/>
    </row>
    <row r="133" spans="1:20" s="8" customFormat="1" ht="16" x14ac:dyDescent="0.4">
      <c r="A133" s="17"/>
      <c r="B133" s="37"/>
      <c r="C133" s="38"/>
      <c r="D133" s="38"/>
      <c r="E133" s="38"/>
      <c r="F133" s="37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24"/>
    </row>
    <row r="134" spans="1:20" s="8" customFormat="1" ht="16" x14ac:dyDescent="0.4">
      <c r="A134" s="17"/>
      <c r="B134" s="37"/>
      <c r="C134" s="38"/>
      <c r="D134"/>
      <c r="E134"/>
      <c r="F134"/>
      <c r="G134"/>
      <c r="O134" s="38"/>
      <c r="P134" s="38"/>
      <c r="Q134" s="38"/>
      <c r="R134" s="38"/>
      <c r="S134" s="38"/>
      <c r="T134" s="27"/>
    </row>
    <row r="135" spans="1:20" s="8" customFormat="1" ht="16" x14ac:dyDescent="0.4">
      <c r="A135" s="17"/>
      <c r="B135" s="37"/>
      <c r="C135" s="38"/>
      <c r="D135" s="80"/>
      <c r="E135" s="42"/>
      <c r="F135" s="42"/>
      <c r="G135" s="42"/>
      <c r="O135" s="38"/>
      <c r="P135" s="38"/>
      <c r="Q135" s="38"/>
      <c r="R135" s="38"/>
      <c r="S135" s="38"/>
      <c r="T135" s="27"/>
    </row>
    <row r="136" spans="1:20" s="8" customFormat="1" ht="16" x14ac:dyDescent="0.4">
      <c r="A136" s="17"/>
      <c r="B136" s="37"/>
      <c r="C136" s="38"/>
      <c r="D136" s="80"/>
      <c r="E136" s="42"/>
      <c r="F136" s="42"/>
      <c r="G136" s="42"/>
      <c r="O136" s="38"/>
      <c r="P136" s="38"/>
      <c r="Q136" s="38"/>
      <c r="R136" s="38"/>
      <c r="S136" s="38"/>
      <c r="T136" s="27"/>
    </row>
    <row r="137" spans="1:20" s="8" customFormat="1" ht="14.4" customHeight="1" x14ac:dyDescent="0.4">
      <c r="A137" s="17"/>
      <c r="B137" s="48"/>
      <c r="C137" s="49"/>
      <c r="D137" s="49"/>
      <c r="E137" s="49"/>
      <c r="F137" s="48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20"/>
    </row>
    <row r="138" spans="1:20" s="8" customFormat="1" ht="16" x14ac:dyDescent="0.4">
      <c r="A138" s="17"/>
      <c r="B138" s="37"/>
      <c r="C138" s="38"/>
      <c r="D138" s="38"/>
      <c r="E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24"/>
    </row>
    <row r="139" spans="1:20" s="8" customFormat="1" ht="16" x14ac:dyDescent="0.4">
      <c r="A139" s="17"/>
      <c r="B139" s="37"/>
      <c r="C139" s="38"/>
      <c r="D139"/>
      <c r="E139"/>
      <c r="F139"/>
      <c r="G1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24"/>
    </row>
    <row r="140" spans="1:20" s="8" customFormat="1" ht="16" x14ac:dyDescent="0.4">
      <c r="A140" s="17"/>
      <c r="B140" s="37"/>
      <c r="C140" s="38"/>
      <c r="D140"/>
      <c r="E140"/>
      <c r="F140"/>
      <c r="G140"/>
      <c r="O140" s="38"/>
      <c r="P140" s="38"/>
      <c r="Q140" s="38"/>
      <c r="R140" s="38"/>
      <c r="S140" s="38"/>
      <c r="T140" s="27"/>
    </row>
    <row r="141" spans="1:20" s="8" customFormat="1" ht="16" x14ac:dyDescent="0.4">
      <c r="A141" s="17"/>
      <c r="B141" s="37"/>
      <c r="C141" s="38"/>
      <c r="D141" s="38"/>
      <c r="E141" s="38"/>
      <c r="F141" s="37"/>
      <c r="G141" s="79"/>
      <c r="O141" s="38"/>
      <c r="P141" s="38"/>
      <c r="Q141" s="38"/>
      <c r="R141" s="38"/>
      <c r="S141" s="38"/>
      <c r="T141" s="27"/>
    </row>
    <row r="142" spans="1:20" s="8" customFormat="1" ht="14.4" customHeight="1" x14ac:dyDescent="0.4">
      <c r="A142" s="17"/>
      <c r="B142" s="48"/>
      <c r="C142" s="49"/>
      <c r="D142" s="49"/>
      <c r="E142" s="49"/>
      <c r="F142" s="48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20"/>
    </row>
    <row r="143" spans="1:20" s="8" customFormat="1" ht="16" x14ac:dyDescent="0.4">
      <c r="A143" s="17"/>
      <c r="B143" s="37"/>
      <c r="C143" s="38"/>
      <c r="D143" s="38"/>
      <c r="E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24"/>
    </row>
    <row r="144" spans="1:20" s="8" customFormat="1" ht="16" x14ac:dyDescent="0.4">
      <c r="A144" s="17"/>
      <c r="B144" s="37"/>
      <c r="C144" s="38"/>
      <c r="D144"/>
      <c r="E144"/>
      <c r="F144" s="37"/>
      <c r="G144" s="81"/>
      <c r="H144"/>
      <c r="I144"/>
      <c r="J144" s="29"/>
      <c r="K144" s="38"/>
      <c r="L144" s="38"/>
      <c r="M144" s="38"/>
      <c r="N144" s="38"/>
      <c r="O144" s="38"/>
      <c r="P144" s="38"/>
      <c r="Q144" s="38"/>
      <c r="R144" s="38"/>
      <c r="S144" s="38"/>
      <c r="T144" s="24"/>
    </row>
    <row r="145" spans="1:20" s="8" customFormat="1" ht="16" x14ac:dyDescent="0.4">
      <c r="A145" s="17"/>
      <c r="B145" s="37"/>
      <c r="C145" s="38"/>
      <c r="D145"/>
      <c r="E145" s="43"/>
      <c r="F145" s="37"/>
      <c r="G145"/>
      <c r="H145" s="42"/>
      <c r="I145" s="42"/>
      <c r="J145" s="43"/>
      <c r="K145" s="38"/>
      <c r="L145" s="38"/>
      <c r="M145" s="38"/>
      <c r="N145" s="38"/>
      <c r="O145" s="38"/>
      <c r="P145" s="38"/>
      <c r="Q145" s="38"/>
      <c r="R145" s="38"/>
      <c r="S145" s="38"/>
      <c r="T145" s="24"/>
    </row>
    <row r="146" spans="1:20" s="8" customFormat="1" ht="16" x14ac:dyDescent="0.4">
      <c r="A146" s="17"/>
      <c r="B146" s="37"/>
      <c r="C146" s="38"/>
      <c r="D146"/>
      <c r="E146" s="43"/>
      <c r="F146" s="37"/>
      <c r="G146"/>
      <c r="H146" s="42"/>
      <c r="I146" s="42"/>
      <c r="J146" s="43"/>
      <c r="K146" s="38"/>
      <c r="L146" s="38"/>
      <c r="M146" s="38"/>
      <c r="N146" s="38"/>
      <c r="O146" s="38"/>
      <c r="P146" s="38"/>
      <c r="Q146" s="38"/>
      <c r="R146" s="38"/>
      <c r="S146" s="38"/>
      <c r="T146" s="24"/>
    </row>
    <row r="147" spans="1:20" s="8" customFormat="1" ht="16" x14ac:dyDescent="0.4">
      <c r="A147" s="17"/>
      <c r="B147" s="37"/>
      <c r="C147" s="38"/>
      <c r="D147"/>
      <c r="E147" s="43"/>
      <c r="F147" s="37"/>
      <c r="G147"/>
      <c r="H147" s="42"/>
      <c r="I147" s="42"/>
      <c r="J147" s="43"/>
      <c r="K147" s="38"/>
      <c r="L147" s="38"/>
      <c r="M147" s="38"/>
      <c r="N147" s="38"/>
      <c r="O147" s="38"/>
      <c r="P147" s="38"/>
      <c r="Q147" s="38"/>
      <c r="R147" s="38"/>
      <c r="S147" s="38"/>
      <c r="T147" s="24"/>
    </row>
    <row r="148" spans="1:20" s="8" customFormat="1" ht="16" x14ac:dyDescent="0.4">
      <c r="A148" s="17"/>
      <c r="B148" s="37"/>
      <c r="C148" s="38"/>
      <c r="D148"/>
      <c r="E148" s="43"/>
      <c r="F148" s="37"/>
      <c r="G148"/>
      <c r="H148" s="42"/>
      <c r="I148" s="42"/>
      <c r="J148" s="43"/>
      <c r="K148" s="38"/>
      <c r="L148" s="38"/>
      <c r="M148" s="38"/>
      <c r="N148" s="38"/>
      <c r="O148" s="38"/>
      <c r="P148" s="38"/>
      <c r="Q148" s="38"/>
      <c r="R148" s="38"/>
      <c r="S148" s="38"/>
      <c r="T148" s="24"/>
    </row>
    <row r="149" spans="1:20" s="8" customFormat="1" ht="16" x14ac:dyDescent="0.4">
      <c r="A149" s="17"/>
      <c r="B149" s="37"/>
      <c r="C149" s="38"/>
      <c r="D149"/>
      <c r="E149" s="43"/>
      <c r="F149" s="37"/>
      <c r="G149"/>
      <c r="H149" s="42"/>
      <c r="I149" s="42"/>
      <c r="J149" s="43"/>
      <c r="K149" s="38"/>
      <c r="L149" s="38"/>
      <c r="M149" s="38"/>
      <c r="N149" s="38"/>
      <c r="O149" s="38"/>
      <c r="P149" s="38"/>
      <c r="Q149" s="38"/>
      <c r="R149" s="38"/>
      <c r="S149" s="38"/>
      <c r="T149" s="24"/>
    </row>
    <row r="150" spans="1:20" s="8" customFormat="1" ht="16" x14ac:dyDescent="0.4">
      <c r="A150" s="17"/>
      <c r="B150" s="37"/>
      <c r="C150" s="38"/>
      <c r="D150"/>
      <c r="E150" s="43"/>
      <c r="F150" s="37"/>
      <c r="G150"/>
      <c r="H150" s="42"/>
      <c r="I150" s="42"/>
      <c r="J150" s="43"/>
      <c r="K150" s="38"/>
      <c r="L150" s="38"/>
      <c r="M150" s="38"/>
      <c r="N150" s="38"/>
      <c r="O150" s="38"/>
      <c r="P150" s="38"/>
      <c r="Q150" s="38"/>
      <c r="R150" s="38"/>
      <c r="S150" s="38"/>
      <c r="T150" s="24"/>
    </row>
    <row r="151" spans="1:20" s="8" customFormat="1" ht="16" x14ac:dyDescent="0.4">
      <c r="A151" s="17"/>
      <c r="B151" s="37"/>
      <c r="C151" s="38"/>
      <c r="D151"/>
      <c r="E151" s="43"/>
      <c r="F151" s="37"/>
      <c r="G151"/>
      <c r="H151" s="42"/>
      <c r="I151" s="42"/>
      <c r="J151" s="43"/>
      <c r="K151" s="38"/>
      <c r="L151" s="38"/>
      <c r="M151" s="38"/>
      <c r="N151" s="38"/>
      <c r="O151" s="38"/>
      <c r="P151" s="38"/>
      <c r="Q151" s="38"/>
      <c r="R151" s="38"/>
      <c r="S151" s="38"/>
      <c r="T151" s="24"/>
    </row>
    <row r="152" spans="1:20" s="8" customFormat="1" ht="16" x14ac:dyDescent="0.4">
      <c r="A152" s="17"/>
      <c r="B152" s="37"/>
      <c r="C152" s="38"/>
      <c r="D152"/>
      <c r="E152" s="43"/>
      <c r="F152" s="37"/>
      <c r="G152"/>
      <c r="H152" s="42"/>
      <c r="I152" s="42"/>
      <c r="J152" s="43"/>
      <c r="K152" s="38"/>
      <c r="L152" s="38"/>
      <c r="M152" s="38"/>
      <c r="N152" s="38"/>
      <c r="O152" s="38"/>
      <c r="P152" s="38"/>
      <c r="Q152" s="38"/>
      <c r="R152" s="38"/>
      <c r="S152" s="38"/>
      <c r="T152" s="24"/>
    </row>
    <row r="153" spans="1:20" s="8" customFormat="1" ht="16" x14ac:dyDescent="0.4">
      <c r="A153" s="17"/>
      <c r="B153" s="37"/>
      <c r="C153" s="38"/>
      <c r="D153"/>
      <c r="E153" s="43"/>
      <c r="F153" s="37"/>
      <c r="G153"/>
      <c r="H153" s="42"/>
      <c r="I153" s="42"/>
      <c r="J153" s="43"/>
      <c r="K153" s="38"/>
      <c r="L153" s="38"/>
      <c r="M153" s="38"/>
      <c r="N153" s="38"/>
      <c r="O153" s="38"/>
      <c r="P153" s="38"/>
      <c r="Q153" s="38"/>
      <c r="R153" s="38"/>
      <c r="S153" s="38"/>
      <c r="T153" s="24"/>
    </row>
    <row r="154" spans="1:20" s="8" customFormat="1" ht="16" x14ac:dyDescent="0.4">
      <c r="A154" s="17"/>
      <c r="B154" s="37"/>
      <c r="C154" s="38"/>
      <c r="D154"/>
      <c r="E154" s="43"/>
      <c r="F154" s="37"/>
      <c r="G154"/>
      <c r="H154" s="42"/>
      <c r="I154" s="42"/>
      <c r="J154" s="43"/>
      <c r="K154" s="38"/>
      <c r="L154" s="38"/>
      <c r="M154" s="38"/>
      <c r="N154" s="38"/>
      <c r="O154" s="38"/>
      <c r="P154" s="38"/>
      <c r="Q154" s="38"/>
      <c r="R154" s="38"/>
      <c r="S154" s="38"/>
      <c r="T154" s="24"/>
    </row>
    <row r="155" spans="1:20" s="8" customFormat="1" ht="16" x14ac:dyDescent="0.4">
      <c r="A155" s="17"/>
      <c r="B155" s="37"/>
      <c r="C155" s="38"/>
      <c r="D155"/>
      <c r="E155" s="43"/>
      <c r="F155" s="37"/>
      <c r="G155"/>
      <c r="H155" s="42"/>
      <c r="I155" s="42"/>
      <c r="J155" s="43"/>
      <c r="K155" s="38"/>
      <c r="L155" s="38"/>
      <c r="M155" s="38"/>
      <c r="N155" s="38"/>
      <c r="O155" s="38"/>
      <c r="P155" s="38"/>
      <c r="Q155" s="38"/>
      <c r="R155" s="38"/>
      <c r="S155" s="38"/>
      <c r="T155" s="24"/>
    </row>
    <row r="156" spans="1:20" s="8" customFormat="1" ht="16" x14ac:dyDescent="0.4">
      <c r="A156" s="17"/>
      <c r="B156" s="37"/>
      <c r="C156" s="38"/>
      <c r="D156"/>
      <c r="E156" s="43"/>
      <c r="F156" s="37"/>
      <c r="G156"/>
      <c r="H156" s="42"/>
      <c r="I156" s="42"/>
      <c r="J156" s="43"/>
      <c r="K156" s="38"/>
      <c r="L156" s="38"/>
      <c r="M156" s="38"/>
      <c r="N156" s="38"/>
      <c r="O156" s="38"/>
      <c r="P156" s="38"/>
      <c r="Q156" s="38"/>
      <c r="R156" s="38"/>
      <c r="S156" s="38"/>
      <c r="T156" s="24"/>
    </row>
    <row r="157" spans="1:20" s="8" customFormat="1" ht="16" x14ac:dyDescent="0.4">
      <c r="A157" s="17"/>
      <c r="B157" s="37"/>
      <c r="C157" s="38"/>
      <c r="D157"/>
      <c r="E157" s="43"/>
      <c r="F157" s="37"/>
      <c r="G157"/>
      <c r="H157" s="42"/>
      <c r="I157" s="42"/>
      <c r="J157" s="43"/>
      <c r="O157" s="38"/>
      <c r="P157" s="38"/>
      <c r="Q157" s="38"/>
      <c r="R157" s="38"/>
      <c r="S157" s="38"/>
      <c r="T157" s="27"/>
    </row>
    <row r="158" spans="1:20" s="8" customFormat="1" ht="16" x14ac:dyDescent="0.4">
      <c r="A158" s="17"/>
      <c r="B158" s="37"/>
      <c r="C158" s="38"/>
      <c r="D158" s="38"/>
      <c r="E158" s="38"/>
      <c r="F158" s="37"/>
      <c r="G158"/>
      <c r="H158" s="42"/>
      <c r="I158" s="42"/>
      <c r="J158" s="43"/>
      <c r="O158" s="38"/>
      <c r="P158" s="38"/>
      <c r="Q158" s="38"/>
      <c r="R158" s="38"/>
      <c r="S158" s="38"/>
      <c r="T158" s="27"/>
    </row>
    <row r="159" spans="1:20" s="8" customFormat="1" ht="16" x14ac:dyDescent="0.4">
      <c r="A159" s="17"/>
      <c r="B159" s="37"/>
      <c r="C159" s="38"/>
      <c r="D159" s="38"/>
      <c r="E159" s="38"/>
      <c r="F159" s="37"/>
      <c r="G159"/>
      <c r="H159" s="42"/>
      <c r="I159" s="42"/>
      <c r="J159" s="43"/>
      <c r="O159" s="38"/>
      <c r="P159" s="38"/>
      <c r="Q159" s="38"/>
      <c r="R159" s="38"/>
      <c r="S159" s="38"/>
      <c r="T159" s="27"/>
    </row>
    <row r="160" spans="1:20" s="8" customFormat="1" ht="16" x14ac:dyDescent="0.4">
      <c r="A160" s="17"/>
      <c r="B160" s="37"/>
      <c r="C160" s="38"/>
      <c r="D160" s="38"/>
      <c r="E160" s="38"/>
      <c r="F160" s="37"/>
      <c r="G160"/>
      <c r="H160" s="42"/>
      <c r="I160" s="42"/>
      <c r="J160" s="43"/>
      <c r="O160" s="38"/>
      <c r="P160" s="38"/>
      <c r="Q160" s="38"/>
      <c r="R160" s="38"/>
      <c r="S160" s="38"/>
      <c r="T160" s="27"/>
    </row>
    <row r="161" spans="1:20" s="8" customFormat="1" ht="14.4" customHeight="1" x14ac:dyDescent="0.4">
      <c r="A161" s="17"/>
      <c r="B161" s="48"/>
      <c r="C161" s="49"/>
      <c r="D161" s="49"/>
      <c r="E161" s="49"/>
      <c r="F161" s="48"/>
      <c r="K161" s="49"/>
      <c r="L161" s="49"/>
      <c r="M161" s="49"/>
      <c r="N161" s="49"/>
      <c r="O161" s="49"/>
      <c r="P161" s="49"/>
      <c r="Q161" s="49"/>
      <c r="R161" s="49"/>
      <c r="S161" s="49"/>
      <c r="T161" s="20"/>
    </row>
    <row r="162" spans="1:20" s="8" customFormat="1" ht="16" x14ac:dyDescent="0.4">
      <c r="A162" s="17"/>
      <c r="B162" s="37"/>
      <c r="C162" s="38"/>
      <c r="D162" s="38"/>
      <c r="E162" s="38"/>
      <c r="H162" s="38"/>
      <c r="I162" s="38"/>
      <c r="J162" s="38"/>
      <c r="K162" s="38"/>
      <c r="L162" s="38"/>
      <c r="M162" s="38"/>
      <c r="N162" s="38"/>
      <c r="O162" s="38"/>
      <c r="Q162" s="38"/>
      <c r="R162" s="38"/>
      <c r="S162" s="38"/>
      <c r="T162" s="24"/>
    </row>
    <row r="163" spans="1:20" s="8" customFormat="1" ht="16" x14ac:dyDescent="0.4">
      <c r="A163" s="17"/>
      <c r="B163" s="37"/>
      <c r="C163" s="38"/>
      <c r="D163" s="38"/>
      <c r="E163" s="38"/>
      <c r="F163" s="37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24"/>
    </row>
    <row r="164" spans="1:20" s="25" customFormat="1" ht="16" x14ac:dyDescent="0.4">
      <c r="A164" s="34"/>
      <c r="B164" s="51"/>
      <c r="C164" s="44"/>
      <c r="D164" s="44"/>
      <c r="E164" s="4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35"/>
    </row>
    <row r="165" spans="1:20" s="25" customFormat="1" ht="16" x14ac:dyDescent="0.4">
      <c r="A165" s="34"/>
      <c r="B165" s="51"/>
      <c r="C165" s="44"/>
      <c r="D165" s="44"/>
      <c r="E165" s="4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35"/>
    </row>
    <row r="166" spans="1:20" s="71" customFormat="1" ht="16" x14ac:dyDescent="0.4">
      <c r="A166" s="67"/>
      <c r="B166" s="76"/>
      <c r="C166" s="69"/>
      <c r="D166" s="69"/>
      <c r="E166" s="69"/>
      <c r="F166" s="76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77"/>
    </row>
    <row r="167" spans="1:20" s="8" customFormat="1" ht="16" x14ac:dyDescent="0.4">
      <c r="A167" s="17"/>
      <c r="B167" s="37"/>
      <c r="C167" s="38"/>
      <c r="D167" s="38"/>
      <c r="E167" s="38"/>
      <c r="F167" s="37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24"/>
    </row>
    <row r="168" spans="1:20" s="8" customFormat="1" ht="14.4" hidden="1" customHeight="1" x14ac:dyDescent="0.4">
      <c r="A168" s="17"/>
      <c r="B168" s="48"/>
      <c r="C168" s="49"/>
      <c r="D168" s="49"/>
      <c r="E168" s="49"/>
      <c r="F168" s="48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20"/>
    </row>
    <row r="169" spans="1:20" s="8" customFormat="1" ht="16" hidden="1" x14ac:dyDescent="0.4">
      <c r="A169" s="17"/>
      <c r="B169" s="37"/>
      <c r="C169" s="38"/>
      <c r="D169" s="38"/>
      <c r="E169" s="38"/>
      <c r="H169" s="38"/>
      <c r="I169" s="38"/>
      <c r="J169" s="38"/>
      <c r="K169" s="38"/>
      <c r="L169" s="38"/>
      <c r="M169" s="38"/>
      <c r="N169" s="38"/>
      <c r="O169" s="38"/>
      <c r="Q169" s="38"/>
      <c r="R169" s="38"/>
      <c r="S169" s="38"/>
      <c r="T169" s="24"/>
    </row>
    <row r="170" spans="1:20" s="8" customFormat="1" ht="16" hidden="1" x14ac:dyDescent="0.4">
      <c r="A170" s="17"/>
      <c r="B170" s="37"/>
      <c r="C170" s="38"/>
      <c r="D170" s="38"/>
      <c r="E170" s="38"/>
      <c r="F170" s="37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24"/>
    </row>
    <row r="171" spans="1:20" s="8" customFormat="1" ht="16" hidden="1" x14ac:dyDescent="0.4">
      <c r="A171" s="17"/>
      <c r="B171" s="37"/>
      <c r="C171" s="38"/>
      <c r="D171" s="38"/>
      <c r="E171" s="38"/>
      <c r="F171" s="37"/>
      <c r="G171" s="79"/>
      <c r="O171" s="38"/>
      <c r="P171" s="38"/>
      <c r="Q171" s="38"/>
      <c r="R171" s="38"/>
      <c r="S171" s="38"/>
      <c r="T171" s="27"/>
    </row>
    <row r="172" spans="1:20" s="8" customFormat="1" ht="14.4" hidden="1" customHeight="1" x14ac:dyDescent="0.4">
      <c r="A172" s="17"/>
      <c r="B172" s="48"/>
      <c r="C172" s="49"/>
      <c r="D172" s="49"/>
      <c r="E172" s="49"/>
      <c r="F172" s="48"/>
      <c r="G172" s="49"/>
      <c r="H172" s="49"/>
      <c r="I172" s="49"/>
      <c r="J172" s="49"/>
      <c r="K172" s="49"/>
      <c r="L172" s="49"/>
      <c r="M172" s="49"/>
      <c r="P172" s="49"/>
      <c r="Q172" s="49"/>
      <c r="R172" s="49"/>
      <c r="S172" s="49"/>
      <c r="T172" s="20"/>
    </row>
    <row r="173" spans="1:20" s="8" customFormat="1" ht="14.4" hidden="1" customHeight="1" x14ac:dyDescent="0.4">
      <c r="A173" s="17"/>
      <c r="B173" s="48"/>
      <c r="C173" s="49"/>
      <c r="D173" s="49"/>
      <c r="E173" s="49"/>
      <c r="F173" s="48"/>
      <c r="G173" s="49"/>
      <c r="H173" s="49"/>
      <c r="I173" s="49"/>
      <c r="J173" s="49"/>
      <c r="K173" s="49"/>
      <c r="L173" s="49"/>
      <c r="M173" s="49"/>
      <c r="P173" s="49"/>
      <c r="Q173" s="49"/>
      <c r="R173" s="49"/>
      <c r="S173" s="49"/>
      <c r="T173" s="20"/>
    </row>
    <row r="174" spans="1:20" s="8" customFormat="1" ht="16" hidden="1" x14ac:dyDescent="0.4">
      <c r="A174" s="17"/>
      <c r="B174" s="37"/>
      <c r="C174" s="38"/>
      <c r="D174" s="38"/>
      <c r="E174" s="38"/>
      <c r="H174" s="38"/>
      <c r="I174" s="38"/>
      <c r="J174" s="38"/>
      <c r="K174" s="38"/>
      <c r="L174" s="38"/>
      <c r="M174" s="38"/>
      <c r="N174" s="38"/>
      <c r="O174" s="38"/>
      <c r="Q174" s="38"/>
      <c r="R174" s="38"/>
      <c r="S174" s="38"/>
      <c r="T174" s="24"/>
    </row>
    <row r="175" spans="1:20" s="8" customFormat="1" ht="16" hidden="1" x14ac:dyDescent="0.4">
      <c r="A175" s="17"/>
      <c r="B175" s="37"/>
      <c r="C175" s="38"/>
      <c r="D175" s="38"/>
      <c r="E175" s="38"/>
      <c r="F175" s="37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24"/>
    </row>
    <row r="176" spans="1:20" s="8" customFormat="1" ht="16" hidden="1" x14ac:dyDescent="0.4">
      <c r="A176" s="17"/>
      <c r="B176" s="37"/>
      <c r="C176" s="38"/>
      <c r="D176" s="38"/>
      <c r="E176" s="38"/>
      <c r="F176" s="37"/>
      <c r="G176" s="79"/>
      <c r="O176" s="38"/>
      <c r="P176" s="38"/>
      <c r="Q176" s="38"/>
      <c r="R176" s="38"/>
      <c r="S176" s="38"/>
      <c r="T176" s="27"/>
    </row>
    <row r="177" spans="1:20" s="8" customFormat="1" ht="14.4" hidden="1" customHeight="1" x14ac:dyDescent="0.4">
      <c r="A177" s="17"/>
      <c r="B177" s="48"/>
      <c r="C177" s="49"/>
      <c r="D177" s="49"/>
      <c r="E177" s="49"/>
      <c r="F177" s="48"/>
      <c r="G177" s="49"/>
      <c r="H177" s="49"/>
      <c r="I177" s="49"/>
      <c r="J177" s="49"/>
      <c r="K177" s="49"/>
      <c r="L177" s="49"/>
      <c r="M177" s="49"/>
      <c r="P177" s="49"/>
      <c r="Q177" s="49"/>
      <c r="R177" s="49"/>
      <c r="S177" s="49"/>
      <c r="T177" s="20"/>
    </row>
    <row r="178" spans="1:20" s="8" customFormat="1" ht="16" hidden="1" x14ac:dyDescent="0.4">
      <c r="A178" s="17"/>
      <c r="B178" s="37"/>
      <c r="C178" s="38"/>
      <c r="D178" s="38"/>
      <c r="E178" s="38"/>
      <c r="H178" s="38"/>
      <c r="I178" s="38"/>
      <c r="J178" s="38"/>
      <c r="K178" s="38"/>
      <c r="L178" s="38"/>
      <c r="M178" s="38"/>
      <c r="N178" s="38"/>
      <c r="O178" s="38"/>
      <c r="Q178" s="38"/>
      <c r="R178" s="38"/>
      <c r="S178" s="38"/>
      <c r="T178" s="24"/>
    </row>
    <row r="179" spans="1:20" s="8" customFormat="1" ht="16" hidden="1" x14ac:dyDescent="0.4">
      <c r="A179" s="17"/>
      <c r="B179" s="37"/>
      <c r="C179" s="38"/>
      <c r="D179" s="38"/>
      <c r="E179" s="38"/>
      <c r="F179" s="37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24"/>
    </row>
    <row r="180" spans="1:20" s="8" customFormat="1" ht="16" hidden="1" x14ac:dyDescent="0.4">
      <c r="A180" s="17"/>
      <c r="B180" s="37"/>
      <c r="C180" s="38"/>
      <c r="D180" s="38"/>
      <c r="E180" s="38"/>
      <c r="F180" s="37"/>
      <c r="G180" s="79"/>
      <c r="O180" s="38"/>
      <c r="P180" s="38"/>
      <c r="Q180" s="38"/>
      <c r="R180" s="38"/>
      <c r="S180" s="38"/>
      <c r="T180" s="27"/>
    </row>
    <row r="181" spans="1:20" s="8" customFormat="1" ht="14.4" hidden="1" customHeight="1" x14ac:dyDescent="0.4">
      <c r="A181" s="17"/>
      <c r="B181" s="48"/>
      <c r="C181" s="49"/>
      <c r="D181" s="49"/>
      <c r="E181" s="49"/>
      <c r="F181" s="48"/>
      <c r="G181" s="49"/>
      <c r="H181" s="49"/>
      <c r="I181" s="49"/>
      <c r="J181" s="49"/>
      <c r="K181" s="49"/>
      <c r="L181" s="49"/>
      <c r="M181" s="49"/>
      <c r="P181" s="49"/>
      <c r="Q181" s="49"/>
      <c r="R181" s="49"/>
      <c r="S181" s="49"/>
      <c r="T181" s="20"/>
    </row>
    <row r="182" spans="1:20" s="8" customFormat="1" ht="14.4" customHeight="1" x14ac:dyDescent="0.35">
      <c r="A182" s="14"/>
      <c r="B182" s="61"/>
      <c r="C182" s="11"/>
      <c r="D182" s="49"/>
      <c r="E182" s="49"/>
      <c r="F182" s="48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20"/>
    </row>
    <row r="183" spans="1:20" s="8" customFormat="1" ht="14.4" customHeight="1" x14ac:dyDescent="0.4">
      <c r="A183" s="17"/>
      <c r="B183" s="48"/>
      <c r="C183" s="49"/>
      <c r="D183" s="49"/>
      <c r="E183" s="49"/>
      <c r="F183" s="48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20"/>
    </row>
    <row r="184" spans="1:20" s="8" customFormat="1" ht="16" x14ac:dyDescent="0.4">
      <c r="A184" s="17"/>
      <c r="B184" s="37"/>
      <c r="C184" s="38"/>
      <c r="D184" s="38"/>
      <c r="E184" s="38"/>
      <c r="H184" s="38"/>
      <c r="I184" s="38"/>
      <c r="J184" s="38"/>
      <c r="K184" s="38"/>
      <c r="L184" s="38"/>
      <c r="M184" s="38"/>
      <c r="N184" s="38"/>
      <c r="O184" s="38"/>
      <c r="Q184" s="38"/>
      <c r="R184" s="38"/>
      <c r="S184" s="38"/>
      <c r="T184" s="24"/>
    </row>
    <row r="185" spans="1:20" s="8" customFormat="1" ht="16" x14ac:dyDescent="0.4">
      <c r="A185" s="17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24"/>
    </row>
    <row r="186" spans="1:20" s="8" customFormat="1" ht="16" x14ac:dyDescent="0.4">
      <c r="A186" s="17"/>
      <c r="B186" s="37"/>
      <c r="C186" s="38"/>
      <c r="D186" s="38"/>
      <c r="E186" s="38"/>
      <c r="F186" s="38"/>
      <c r="G186" s="38"/>
      <c r="H186" s="38"/>
      <c r="I186" s="38"/>
      <c r="J186" s="38"/>
      <c r="Q186" s="38"/>
      <c r="R186" s="38"/>
      <c r="S186" s="38"/>
      <c r="T186" s="27"/>
    </row>
    <row r="187" spans="1:20" s="8" customFormat="1" ht="16" x14ac:dyDescent="0.4">
      <c r="A187" s="17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24"/>
    </row>
    <row r="188" spans="1:20" s="8" customFormat="1" ht="16" x14ac:dyDescent="0.4">
      <c r="A188" s="17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24"/>
    </row>
    <row r="189" spans="1:20" s="8" customFormat="1" ht="16" x14ac:dyDescent="0.4">
      <c r="A189" s="17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24"/>
    </row>
    <row r="190" spans="1:20" s="8" customFormat="1" ht="16" x14ac:dyDescent="0.4">
      <c r="A190" s="17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24"/>
    </row>
    <row r="191" spans="1:20" s="8" customFormat="1" ht="16" x14ac:dyDescent="0.4">
      <c r="A191" s="17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24"/>
    </row>
    <row r="192" spans="1:20" s="8" customFormat="1" ht="16" x14ac:dyDescent="0.4">
      <c r="A192" s="17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24"/>
    </row>
    <row r="193" spans="1:20" s="8" customFormat="1" ht="16" x14ac:dyDescent="0.4">
      <c r="A193" s="17"/>
      <c r="B193" s="37"/>
      <c r="C193" s="38"/>
      <c r="D193" s="38"/>
      <c r="E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24"/>
    </row>
    <row r="194" spans="1:20" s="8" customFormat="1" ht="16" x14ac:dyDescent="0.4">
      <c r="A194" s="17"/>
      <c r="B194" s="37"/>
      <c r="C194" s="38"/>
      <c r="D194" s="38"/>
      <c r="E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24"/>
    </row>
    <row r="195" spans="1:20" s="8" customFormat="1" ht="16" x14ac:dyDescent="0.4">
      <c r="A195" s="17"/>
      <c r="B195" s="37"/>
      <c r="C195" s="38"/>
      <c r="D195" s="38"/>
      <c r="E195" s="38"/>
      <c r="F195" s="38"/>
      <c r="Q195" s="38"/>
      <c r="R195" s="38"/>
      <c r="S195" s="38"/>
      <c r="T195" s="24"/>
    </row>
    <row r="196" spans="1:20" s="8" customFormat="1" ht="16" x14ac:dyDescent="0.4">
      <c r="A196" s="17"/>
      <c r="B196" s="37"/>
      <c r="C196" s="38"/>
      <c r="D196" s="38"/>
      <c r="E196" s="38"/>
      <c r="H196" s="38"/>
      <c r="I196" s="38"/>
      <c r="J196" s="38"/>
      <c r="K196" s="38"/>
      <c r="L196" s="38"/>
      <c r="Q196" s="38"/>
      <c r="R196" s="38"/>
      <c r="S196" s="38"/>
      <c r="T196" s="24"/>
    </row>
    <row r="197" spans="1:20" s="8" customFormat="1" ht="16" x14ac:dyDescent="0.4">
      <c r="A197" s="17"/>
      <c r="B197" s="37"/>
      <c r="C197" s="38"/>
      <c r="D197" s="38"/>
      <c r="E197" s="38"/>
      <c r="H197" s="38"/>
      <c r="I197" s="38"/>
      <c r="J197" s="38"/>
      <c r="K197" s="38"/>
      <c r="L197" s="38"/>
      <c r="Q197" s="38"/>
      <c r="R197" s="38"/>
      <c r="S197" s="38"/>
      <c r="T197" s="24"/>
    </row>
    <row r="198" spans="1:20" s="8" customFormat="1" ht="16" x14ac:dyDescent="0.4">
      <c r="A198" s="17"/>
      <c r="B198" s="37"/>
      <c r="C198" s="38"/>
      <c r="D198" s="38"/>
      <c r="E198" s="38"/>
      <c r="H198" s="38"/>
      <c r="I198" s="38"/>
      <c r="J198" s="38"/>
      <c r="K198" s="38"/>
      <c r="L198" s="38"/>
      <c r="M198" s="38"/>
      <c r="N198" s="38"/>
      <c r="O198" s="38"/>
      <c r="Q198" s="38"/>
      <c r="R198" s="38"/>
      <c r="S198" s="38"/>
      <c r="T198" s="24"/>
    </row>
    <row r="199" spans="1:20" s="8" customFormat="1" ht="16" x14ac:dyDescent="0.4">
      <c r="A199" s="17"/>
      <c r="B199" s="37"/>
      <c r="C199" s="38"/>
      <c r="D199" s="38"/>
      <c r="E199" s="38"/>
      <c r="H199" s="38"/>
      <c r="I199" s="38"/>
      <c r="J199" s="38"/>
      <c r="K199" s="38"/>
      <c r="L199" s="38"/>
      <c r="M199" s="38"/>
      <c r="N199" s="38"/>
      <c r="O199" s="38"/>
      <c r="Q199" s="38"/>
      <c r="R199" s="38"/>
      <c r="S199" s="38"/>
      <c r="T199" s="24"/>
    </row>
    <row r="200" spans="1:20" s="8" customFormat="1" ht="16" x14ac:dyDescent="0.4">
      <c r="A200" s="17"/>
      <c r="B200" s="37"/>
      <c r="C200" s="38"/>
      <c r="D200" s="38"/>
      <c r="E200" s="38"/>
      <c r="H200" s="38"/>
      <c r="I200" s="38"/>
      <c r="J200" s="38"/>
      <c r="K200" s="38"/>
      <c r="L200" s="38"/>
      <c r="M200" s="38"/>
      <c r="N200" s="38"/>
      <c r="O200" s="38"/>
      <c r="Q200" s="38"/>
      <c r="R200" s="38"/>
      <c r="S200" s="38"/>
      <c r="T200" s="24"/>
    </row>
    <row r="201" spans="1:20" s="8" customFormat="1" ht="16" x14ac:dyDescent="0.4">
      <c r="A201" s="17"/>
      <c r="B201" s="37"/>
      <c r="C201" s="38"/>
      <c r="D201" s="38"/>
      <c r="E201" s="38"/>
      <c r="H201" s="38"/>
      <c r="I201" s="38"/>
      <c r="J201" s="38"/>
      <c r="K201" s="38"/>
      <c r="L201" s="38"/>
      <c r="M201" s="38"/>
      <c r="N201" s="38"/>
      <c r="O201" s="38"/>
      <c r="Q201" s="38"/>
      <c r="R201" s="38"/>
      <c r="S201" s="38"/>
      <c r="T201" s="24"/>
    </row>
    <row r="202" spans="1:20" s="8" customFormat="1" ht="16" x14ac:dyDescent="0.4">
      <c r="A202" s="17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24"/>
    </row>
    <row r="203" spans="1:20" s="8" customFormat="1" ht="16" x14ac:dyDescent="0.4">
      <c r="A203" s="17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24"/>
    </row>
    <row r="204" spans="1:20" s="8" customFormat="1" ht="16" x14ac:dyDescent="0.4">
      <c r="A204" s="17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24"/>
    </row>
    <row r="205" spans="1:20" s="8" customFormat="1" ht="16" x14ac:dyDescent="0.4">
      <c r="A205" s="17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24"/>
    </row>
    <row r="206" spans="1:20" s="8" customFormat="1" ht="16" x14ac:dyDescent="0.4">
      <c r="A206" s="17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24"/>
    </row>
    <row r="207" spans="1:20" s="8" customFormat="1" ht="16" x14ac:dyDescent="0.4">
      <c r="A207" s="17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24"/>
    </row>
    <row r="208" spans="1:20" s="8" customFormat="1" ht="16" x14ac:dyDescent="0.4">
      <c r="A208" s="17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24"/>
    </row>
    <row r="209" spans="1:20" s="8" customFormat="1" ht="16" x14ac:dyDescent="0.4">
      <c r="A209" s="17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24"/>
    </row>
    <row r="210" spans="1:20" s="8" customFormat="1" ht="16" x14ac:dyDescent="0.4">
      <c r="A210" s="17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24"/>
    </row>
    <row r="211" spans="1:20" s="8" customFormat="1" ht="16" x14ac:dyDescent="0.4">
      <c r="A211" s="17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24"/>
    </row>
    <row r="212" spans="1:20" s="8" customFormat="1" ht="16" x14ac:dyDescent="0.4">
      <c r="A212" s="17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24"/>
    </row>
    <row r="213" spans="1:20" s="8" customFormat="1" ht="16" x14ac:dyDescent="0.4">
      <c r="A213" s="17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24"/>
    </row>
    <row r="214" spans="1:20" s="8" customFormat="1" ht="16" x14ac:dyDescent="0.4">
      <c r="A214" s="17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24"/>
    </row>
    <row r="215" spans="1:20" s="8" customFormat="1" ht="16" x14ac:dyDescent="0.4">
      <c r="A215" s="17"/>
      <c r="B215" s="37"/>
      <c r="C215" s="38"/>
      <c r="D215" s="38"/>
      <c r="E215" s="38"/>
      <c r="H215" s="38"/>
      <c r="I215" s="38"/>
      <c r="J215" s="38"/>
      <c r="K215" s="38"/>
      <c r="L215" s="38"/>
      <c r="M215" s="38"/>
      <c r="N215" s="38"/>
      <c r="O215" s="38"/>
      <c r="Q215" s="38"/>
      <c r="R215" s="38"/>
      <c r="S215" s="38"/>
      <c r="T215" s="24"/>
    </row>
    <row r="216" spans="1:20" s="8" customFormat="1" ht="16" x14ac:dyDescent="0.4">
      <c r="A216" s="17"/>
      <c r="B216" s="37"/>
      <c r="C216" s="38"/>
      <c r="D216" s="38"/>
      <c r="E216" s="38"/>
      <c r="H216" s="38"/>
      <c r="I216" s="38"/>
      <c r="J216" s="38"/>
      <c r="K216" s="38"/>
      <c r="L216" s="38"/>
      <c r="M216" s="38"/>
      <c r="N216" s="38"/>
      <c r="O216" s="38"/>
      <c r="Q216" s="38"/>
      <c r="R216" s="38"/>
      <c r="S216" s="38"/>
      <c r="T216" s="24"/>
    </row>
    <row r="217" spans="1:20" s="8" customFormat="1" ht="16" x14ac:dyDescent="0.4">
      <c r="A217" s="17"/>
      <c r="B217" s="37"/>
      <c r="C217" s="38"/>
      <c r="D217" s="38"/>
      <c r="E217" s="38"/>
      <c r="H217" s="38"/>
      <c r="I217" s="38"/>
      <c r="J217" s="38"/>
      <c r="K217" s="38"/>
      <c r="L217" s="38"/>
      <c r="M217" s="38"/>
      <c r="N217" s="38"/>
      <c r="O217" s="38"/>
      <c r="Q217" s="38"/>
      <c r="R217" s="38"/>
      <c r="S217" s="38"/>
      <c r="T217" s="24"/>
    </row>
    <row r="218" spans="1:20" s="8" customFormat="1" ht="16" x14ac:dyDescent="0.4">
      <c r="A218" s="17"/>
      <c r="B218" s="37"/>
      <c r="C218" s="38"/>
      <c r="D218" s="38"/>
      <c r="E218" s="38"/>
      <c r="H218" s="38"/>
      <c r="I218" s="38"/>
      <c r="J218" s="38"/>
      <c r="K218" s="38"/>
      <c r="L218" s="38"/>
      <c r="M218" s="38"/>
      <c r="N218" s="38"/>
      <c r="O218" s="38"/>
      <c r="Q218" s="38"/>
      <c r="R218" s="38"/>
      <c r="S218" s="38"/>
      <c r="T218" s="24"/>
    </row>
    <row r="219" spans="1:20" s="8" customFormat="1" ht="16" x14ac:dyDescent="0.4">
      <c r="A219" s="17"/>
      <c r="B219" s="37"/>
      <c r="C219" s="38"/>
      <c r="D219" s="38"/>
      <c r="E219" s="38"/>
      <c r="H219" s="38"/>
      <c r="I219" s="38"/>
      <c r="J219" s="38"/>
      <c r="K219" s="38"/>
      <c r="L219" s="38"/>
      <c r="M219" s="38"/>
      <c r="N219" s="38"/>
      <c r="O219" s="38"/>
      <c r="Q219" s="38"/>
      <c r="R219" s="38"/>
      <c r="S219" s="38"/>
      <c r="T219" s="24"/>
    </row>
    <row r="220" spans="1:20" s="8" customFormat="1" ht="16" x14ac:dyDescent="0.4">
      <c r="A220" s="17"/>
      <c r="B220" s="37"/>
      <c r="C220" s="38"/>
      <c r="D220" s="38"/>
      <c r="E220" s="38"/>
      <c r="H220" s="38"/>
      <c r="I220" s="38"/>
      <c r="J220" s="38"/>
      <c r="K220" s="38"/>
      <c r="L220" s="38"/>
      <c r="M220" s="38"/>
      <c r="N220" s="38"/>
      <c r="O220" s="38"/>
      <c r="Q220" s="38"/>
      <c r="R220" s="38"/>
      <c r="S220" s="38"/>
      <c r="T220" s="24"/>
    </row>
    <row r="221" spans="1:20" s="8" customFormat="1" ht="16" x14ac:dyDescent="0.4">
      <c r="A221" s="17"/>
      <c r="B221" s="37"/>
      <c r="C221" s="38"/>
      <c r="D221" s="38"/>
      <c r="E221" s="38"/>
      <c r="H221" s="38"/>
      <c r="I221" s="38"/>
      <c r="J221" s="38"/>
      <c r="K221" s="38"/>
      <c r="L221" s="38"/>
      <c r="M221" s="38"/>
      <c r="N221" s="38"/>
      <c r="O221" s="38"/>
      <c r="Q221" s="38"/>
      <c r="R221" s="38"/>
      <c r="S221" s="38"/>
      <c r="T221" s="24"/>
    </row>
    <row r="222" spans="1:20" s="8" customFormat="1" ht="16" x14ac:dyDescent="0.4">
      <c r="A222" s="17"/>
      <c r="B222" s="37"/>
      <c r="C222" s="38"/>
      <c r="D222" s="38"/>
      <c r="E222" s="38"/>
      <c r="H222" s="38"/>
      <c r="I222" s="38"/>
      <c r="J222" s="38"/>
      <c r="K222" s="38"/>
      <c r="L222" s="38"/>
      <c r="M222" s="38"/>
      <c r="N222" s="38"/>
      <c r="O222" s="38"/>
      <c r="Q222" s="38"/>
      <c r="R222" s="38"/>
      <c r="S222" s="38"/>
      <c r="T222" s="24"/>
    </row>
    <row r="223" spans="1:20" s="8" customFormat="1" ht="16" x14ac:dyDescent="0.4">
      <c r="A223" s="17"/>
      <c r="B223" s="37"/>
      <c r="C223" s="38"/>
      <c r="D223" s="38"/>
      <c r="E223" s="38"/>
      <c r="H223" s="38"/>
      <c r="I223" s="38"/>
      <c r="J223" s="38"/>
      <c r="K223" s="38"/>
      <c r="L223" s="38"/>
      <c r="M223" s="38"/>
      <c r="N223" s="38"/>
      <c r="O223" s="38"/>
      <c r="Q223" s="38"/>
      <c r="R223" s="38"/>
      <c r="S223" s="38"/>
      <c r="T223" s="24"/>
    </row>
    <row r="224" spans="1:20" s="8" customFormat="1" ht="16" x14ac:dyDescent="0.4">
      <c r="A224" s="17"/>
      <c r="B224" s="37"/>
      <c r="C224" s="38"/>
      <c r="D224" s="38"/>
      <c r="E224" s="38"/>
      <c r="H224" s="38"/>
      <c r="I224" s="38"/>
      <c r="J224" s="38"/>
      <c r="K224" s="38"/>
      <c r="L224" s="38"/>
      <c r="M224" s="38"/>
      <c r="N224" s="38"/>
      <c r="O224" s="38"/>
      <c r="Q224" s="38"/>
      <c r="R224" s="38"/>
      <c r="S224" s="38"/>
      <c r="T224" s="24"/>
    </row>
    <row r="225" spans="1:20" s="8" customFormat="1" ht="16" x14ac:dyDescent="0.4">
      <c r="A225" s="17"/>
      <c r="B225" s="37"/>
      <c r="C225" s="38"/>
      <c r="D225" s="38"/>
      <c r="E225" s="38"/>
      <c r="H225" s="38"/>
      <c r="I225" s="38"/>
      <c r="J225" s="38"/>
      <c r="K225" s="38"/>
      <c r="L225" s="38"/>
      <c r="M225" s="38"/>
      <c r="N225" s="38"/>
      <c r="O225" s="38"/>
      <c r="Q225" s="38"/>
      <c r="R225" s="38"/>
      <c r="S225" s="38"/>
      <c r="T225" s="24"/>
    </row>
    <row r="226" spans="1:20" s="8" customFormat="1" ht="16" x14ac:dyDescent="0.4">
      <c r="A226" s="17"/>
      <c r="B226" s="37"/>
      <c r="C226" s="38"/>
      <c r="D226" s="38"/>
      <c r="E226" s="38"/>
      <c r="H226" s="38"/>
      <c r="I226" s="38"/>
      <c r="J226" s="38"/>
      <c r="K226" s="38"/>
      <c r="L226" s="38"/>
      <c r="M226" s="38"/>
      <c r="N226" s="38"/>
      <c r="O226" s="38"/>
      <c r="Q226" s="38"/>
      <c r="R226" s="38"/>
      <c r="S226" s="38"/>
      <c r="T226" s="24"/>
    </row>
    <row r="227" spans="1:20" s="8" customFormat="1" ht="16" x14ac:dyDescent="0.4">
      <c r="A227" s="17"/>
      <c r="B227" s="37"/>
      <c r="C227" s="38"/>
      <c r="D227" s="38"/>
      <c r="E227" s="38"/>
      <c r="H227" s="38"/>
      <c r="I227" s="38"/>
      <c r="J227" s="38"/>
      <c r="K227" s="38"/>
      <c r="L227" s="38"/>
      <c r="M227" s="38"/>
      <c r="N227" s="38"/>
      <c r="O227" s="38"/>
      <c r="Q227" s="38"/>
      <c r="R227" s="38"/>
      <c r="S227" s="38"/>
      <c r="T227" s="24"/>
    </row>
    <row r="228" spans="1:20" s="8" customFormat="1" ht="16" x14ac:dyDescent="0.4">
      <c r="A228" s="17"/>
      <c r="B228" s="37"/>
      <c r="C228" s="38"/>
      <c r="D228" s="38"/>
      <c r="E228" s="38"/>
      <c r="H228" s="38"/>
      <c r="I228" s="38"/>
      <c r="J228" s="38"/>
      <c r="K228" s="38"/>
      <c r="L228" s="38"/>
      <c r="M228" s="38"/>
      <c r="N228" s="38"/>
      <c r="O228" s="38"/>
      <c r="Q228" s="38"/>
      <c r="R228" s="38"/>
      <c r="S228" s="38"/>
      <c r="T228" s="24"/>
    </row>
    <row r="229" spans="1:20" s="8" customFormat="1" ht="16" x14ac:dyDescent="0.4">
      <c r="A229" s="17"/>
      <c r="B229" s="37"/>
      <c r="C229" s="38"/>
      <c r="D229" s="38"/>
      <c r="E229" s="38"/>
      <c r="H229" s="38"/>
      <c r="I229" s="38"/>
      <c r="J229" s="38"/>
      <c r="K229" s="38"/>
      <c r="L229" s="38"/>
      <c r="M229" s="38"/>
      <c r="N229" s="38"/>
      <c r="O229" s="38"/>
      <c r="Q229" s="38"/>
      <c r="R229" s="38"/>
      <c r="S229" s="38"/>
      <c r="T229" s="24"/>
    </row>
    <row r="230" spans="1:20" s="8" customFormat="1" ht="16" x14ac:dyDescent="0.4">
      <c r="A230" s="17"/>
      <c r="B230" s="37"/>
      <c r="C230" s="38"/>
      <c r="D230" s="38"/>
      <c r="E230" s="38"/>
      <c r="H230" s="38"/>
      <c r="I230" s="38"/>
      <c r="J230" s="38"/>
      <c r="K230" s="38"/>
      <c r="L230" s="38"/>
      <c r="M230" s="38"/>
      <c r="N230" s="38"/>
      <c r="O230" s="38"/>
      <c r="Q230" s="38"/>
      <c r="R230" s="38"/>
      <c r="S230" s="38"/>
      <c r="T230" s="24"/>
    </row>
    <row r="231" spans="1:20" s="8" customFormat="1" ht="16" x14ac:dyDescent="0.4">
      <c r="A231" s="17"/>
      <c r="B231" s="37"/>
      <c r="C231" s="38"/>
      <c r="D231" s="38"/>
      <c r="E231" s="38"/>
      <c r="H231" s="38"/>
      <c r="I231" s="38"/>
      <c r="J231" s="38"/>
      <c r="K231" s="38"/>
      <c r="L231" s="38"/>
      <c r="M231" s="38"/>
      <c r="N231" s="38"/>
      <c r="O231" s="38"/>
      <c r="Q231" s="38"/>
      <c r="R231" s="38"/>
      <c r="S231" s="38"/>
      <c r="T231" s="24"/>
    </row>
    <row r="232" spans="1:20" s="8" customFormat="1" ht="16" x14ac:dyDescent="0.4">
      <c r="A232" s="17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Q232" s="38"/>
      <c r="R232" s="38"/>
      <c r="S232" s="38"/>
      <c r="T232" s="24"/>
    </row>
    <row r="233" spans="1:20" s="8" customFormat="1" ht="16" x14ac:dyDescent="0.4">
      <c r="A233" s="17"/>
      <c r="B233" s="37"/>
      <c r="C233" s="38"/>
      <c r="D233" s="38"/>
      <c r="E233" s="38"/>
      <c r="H233" s="38"/>
      <c r="I233" s="38"/>
      <c r="J233" s="38"/>
      <c r="K233" s="38"/>
      <c r="L233" s="38"/>
      <c r="M233" s="38"/>
      <c r="N233" s="38"/>
      <c r="O233" s="38"/>
      <c r="Q233" s="38"/>
      <c r="R233" s="38"/>
      <c r="S233" s="38"/>
      <c r="T233" s="24"/>
    </row>
    <row r="234" spans="1:20" s="8" customFormat="1" ht="16" x14ac:dyDescent="0.4">
      <c r="A234" s="17"/>
      <c r="B234" s="37"/>
      <c r="C234" s="38"/>
      <c r="D234" s="38"/>
      <c r="E234" s="38"/>
      <c r="H234" s="38"/>
      <c r="I234" s="38"/>
      <c r="J234" s="38"/>
      <c r="K234" s="38"/>
      <c r="L234" s="38"/>
      <c r="M234" s="38"/>
      <c r="N234" s="38"/>
      <c r="O234" s="38"/>
      <c r="Q234" s="38"/>
      <c r="R234" s="38"/>
      <c r="S234" s="38"/>
      <c r="T234" s="24"/>
    </row>
    <row r="235" spans="1:20" s="8" customFormat="1" ht="16" x14ac:dyDescent="0.4">
      <c r="A235" s="17"/>
      <c r="B235" s="37"/>
      <c r="C235" s="38"/>
      <c r="D235" s="38"/>
      <c r="E235" s="38"/>
      <c r="H235" s="38"/>
      <c r="I235" s="38"/>
      <c r="J235" s="38"/>
      <c r="K235" s="38"/>
      <c r="L235" s="38"/>
      <c r="M235" s="38"/>
      <c r="N235" s="38"/>
      <c r="O235" s="38"/>
      <c r="Q235" s="38"/>
      <c r="R235" s="38"/>
      <c r="S235" s="38"/>
      <c r="T235" s="24"/>
    </row>
    <row r="236" spans="1:20" s="8" customFormat="1" ht="16" x14ac:dyDescent="0.4">
      <c r="A236" s="17"/>
      <c r="B236" s="37"/>
      <c r="C236" s="38"/>
      <c r="D236" s="38"/>
      <c r="E236" s="38"/>
      <c r="H236" s="38"/>
      <c r="I236" s="38"/>
      <c r="J236" s="38"/>
      <c r="K236" s="38"/>
      <c r="L236" s="38"/>
      <c r="M236" s="38"/>
      <c r="N236" s="38"/>
      <c r="O236" s="38"/>
      <c r="Q236" s="38"/>
      <c r="R236" s="38"/>
      <c r="S236" s="38"/>
      <c r="T236" s="24"/>
    </row>
    <row r="237" spans="1:20" s="8" customFormat="1" ht="16" x14ac:dyDescent="0.4">
      <c r="A237" s="17"/>
      <c r="B237" s="37"/>
      <c r="C237" s="38"/>
      <c r="D237" s="38"/>
      <c r="E237" s="38"/>
      <c r="H237" s="38"/>
      <c r="I237" s="38"/>
      <c r="J237" s="38"/>
      <c r="K237" s="38"/>
      <c r="L237" s="38"/>
      <c r="M237" s="38"/>
      <c r="N237" s="38"/>
      <c r="O237" s="38"/>
      <c r="Q237" s="38"/>
      <c r="R237" s="38"/>
      <c r="S237" s="38"/>
      <c r="T237" s="24"/>
    </row>
    <row r="238" spans="1:20" s="8" customFormat="1" ht="16" x14ac:dyDescent="0.4">
      <c r="A238" s="17"/>
      <c r="B238" s="37"/>
      <c r="C238" s="38"/>
      <c r="D238" s="38"/>
      <c r="E238" s="38"/>
      <c r="H238" s="38"/>
      <c r="I238" s="38"/>
      <c r="J238" s="38"/>
      <c r="K238" s="38"/>
      <c r="L238" s="38"/>
      <c r="M238" s="38"/>
      <c r="N238" s="38"/>
      <c r="O238" s="38"/>
      <c r="Q238" s="38"/>
      <c r="R238" s="38"/>
      <c r="S238" s="38"/>
      <c r="T238" s="24"/>
    </row>
    <row r="239" spans="1:20" s="8" customFormat="1" ht="16" x14ac:dyDescent="0.4">
      <c r="A239" s="17"/>
      <c r="B239" s="37"/>
      <c r="C239" s="38"/>
      <c r="D239" s="38"/>
      <c r="E239" s="38"/>
      <c r="H239" s="38"/>
      <c r="I239" s="38"/>
      <c r="J239" s="38"/>
      <c r="K239" s="38"/>
      <c r="L239" s="38"/>
      <c r="M239" s="38"/>
      <c r="N239" s="38"/>
      <c r="O239" s="38"/>
      <c r="Q239" s="38"/>
      <c r="R239" s="38"/>
      <c r="S239" s="38"/>
      <c r="T239" s="24"/>
    </row>
    <row r="240" spans="1:20" s="8" customFormat="1" ht="16" x14ac:dyDescent="0.4">
      <c r="A240" s="17"/>
      <c r="B240" s="37"/>
      <c r="C240" s="38"/>
      <c r="D240" s="38"/>
      <c r="E240" s="38"/>
      <c r="H240" s="38"/>
      <c r="I240" s="38"/>
      <c r="J240" s="38"/>
      <c r="K240" s="38"/>
      <c r="L240" s="38"/>
      <c r="M240" s="38"/>
      <c r="N240" s="38"/>
      <c r="O240" s="38"/>
      <c r="Q240" s="38"/>
      <c r="R240" s="38"/>
      <c r="S240" s="38"/>
      <c r="T240" s="24"/>
    </row>
    <row r="241" spans="1:20" s="8" customFormat="1" ht="16" x14ac:dyDescent="0.4">
      <c r="A241" s="17"/>
      <c r="B241" s="37"/>
      <c r="C241" s="38"/>
      <c r="D241" s="38"/>
      <c r="E241" s="38"/>
      <c r="H241" s="38"/>
      <c r="I241" s="38"/>
      <c r="J241" s="38"/>
      <c r="K241" s="38"/>
      <c r="L241" s="38"/>
      <c r="M241" s="38"/>
      <c r="N241" s="38"/>
      <c r="O241" s="38"/>
      <c r="Q241" s="38"/>
      <c r="R241" s="38"/>
      <c r="S241" s="38"/>
      <c r="T241" s="24"/>
    </row>
    <row r="242" spans="1:20" s="8" customFormat="1" ht="16" x14ac:dyDescent="0.4">
      <c r="A242" s="17"/>
      <c r="B242" s="37"/>
      <c r="C242" s="38"/>
      <c r="D242" s="38"/>
      <c r="E242" s="38"/>
      <c r="H242" s="38"/>
      <c r="I242" s="38"/>
      <c r="J242" s="38"/>
      <c r="K242" s="38"/>
      <c r="L242" s="38"/>
      <c r="M242" s="38"/>
      <c r="N242" s="38"/>
      <c r="O242" s="38"/>
      <c r="Q242" s="38"/>
      <c r="R242" s="38"/>
      <c r="S242" s="38"/>
      <c r="T242" s="24"/>
    </row>
    <row r="243" spans="1:20" s="8" customFormat="1" ht="16" x14ac:dyDescent="0.4">
      <c r="A243" s="17"/>
      <c r="B243" s="37"/>
      <c r="C243" s="38"/>
      <c r="D243" s="38"/>
      <c r="E243" s="38"/>
      <c r="H243" s="38"/>
      <c r="I243" s="38"/>
      <c r="J243" s="38"/>
      <c r="K243" s="38"/>
      <c r="L243" s="38"/>
      <c r="M243" s="38"/>
      <c r="N243" s="38"/>
      <c r="O243" s="38"/>
      <c r="Q243" s="38"/>
      <c r="R243" s="38"/>
      <c r="S243" s="38"/>
      <c r="T243" s="24"/>
    </row>
    <row r="244" spans="1:20" s="8" customFormat="1" ht="16" x14ac:dyDescent="0.4">
      <c r="A244" s="17"/>
      <c r="B244" s="37"/>
      <c r="C244" s="38"/>
      <c r="D244" s="38"/>
      <c r="E244" s="38"/>
      <c r="H244" s="38"/>
      <c r="I244" s="38"/>
      <c r="J244" s="38"/>
      <c r="K244" s="38"/>
      <c r="L244" s="38"/>
      <c r="M244" s="38"/>
      <c r="N244" s="38"/>
      <c r="O244" s="38"/>
      <c r="Q244" s="38"/>
      <c r="R244" s="38"/>
      <c r="S244" s="38"/>
      <c r="T244" s="24"/>
    </row>
    <row r="245" spans="1:20" s="8" customFormat="1" ht="16" x14ac:dyDescent="0.4">
      <c r="A245" s="17"/>
      <c r="B245" s="37"/>
      <c r="C245" s="38"/>
      <c r="D245" s="38"/>
      <c r="E245" s="38"/>
      <c r="H245" s="38"/>
      <c r="I245" s="38"/>
      <c r="J245" s="38"/>
      <c r="K245" s="38"/>
      <c r="L245" s="38"/>
      <c r="M245" s="38"/>
      <c r="N245" s="38"/>
      <c r="O245" s="38"/>
      <c r="Q245" s="38"/>
      <c r="R245" s="38"/>
      <c r="S245" s="38"/>
      <c r="T245" s="24"/>
    </row>
    <row r="246" spans="1:20" s="8" customFormat="1" ht="16" x14ac:dyDescent="0.4">
      <c r="A246" s="17"/>
      <c r="B246" s="37"/>
      <c r="C246" s="38"/>
      <c r="D246" s="49"/>
      <c r="E246" s="38"/>
      <c r="H246" s="38"/>
      <c r="I246" s="38"/>
      <c r="J246" s="38"/>
      <c r="K246" s="38"/>
      <c r="L246" s="38"/>
      <c r="M246" s="38"/>
      <c r="N246" s="38"/>
      <c r="O246" s="38"/>
      <c r="Q246" s="38"/>
      <c r="R246" s="38"/>
      <c r="S246" s="38"/>
      <c r="T246" s="24"/>
    </row>
    <row r="247" spans="1:20" s="79" customFormat="1" ht="9" customHeight="1" x14ac:dyDescent="0.4">
      <c r="A247" s="82"/>
      <c r="B247" s="48"/>
      <c r="C247" s="49"/>
      <c r="E247" s="49"/>
      <c r="F247" s="48"/>
      <c r="O247" s="49"/>
      <c r="P247" s="49"/>
      <c r="Q247" s="49"/>
      <c r="R247" s="49"/>
      <c r="S247" s="49"/>
      <c r="T247" s="83"/>
    </row>
    <row r="248" spans="1:20" s="8" customFormat="1" ht="14.4" customHeight="1" x14ac:dyDescent="0.35">
      <c r="A248" s="14"/>
      <c r="B248" s="61"/>
      <c r="C248" s="11"/>
      <c r="D248" s="49"/>
      <c r="E248" s="49"/>
      <c r="F248" s="48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20"/>
    </row>
    <row r="249" spans="1:20" s="8" customFormat="1" ht="14.4" customHeight="1" x14ac:dyDescent="0.4">
      <c r="A249" s="17"/>
      <c r="B249" s="48"/>
      <c r="C249" s="49"/>
      <c r="D249" s="49"/>
      <c r="E249" s="49"/>
      <c r="F249" s="48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20"/>
    </row>
    <row r="250" spans="1:20" s="8" customFormat="1" ht="16" x14ac:dyDescent="0.4">
      <c r="A250" s="17"/>
      <c r="B250" s="37"/>
      <c r="C250" s="38"/>
      <c r="D250" s="38"/>
      <c r="E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24"/>
    </row>
    <row r="251" spans="1:20" s="88" customFormat="1" ht="16" x14ac:dyDescent="0.4">
      <c r="A251" s="84"/>
      <c r="B251" s="85"/>
      <c r="C251" s="86"/>
      <c r="D251" s="87"/>
      <c r="E251" s="87"/>
      <c r="F251" s="87"/>
      <c r="G251" s="87"/>
      <c r="H251" s="87"/>
      <c r="I251" s="87"/>
      <c r="J251" s="87"/>
      <c r="L251" s="89"/>
      <c r="M251" s="89"/>
      <c r="N251" s="89"/>
      <c r="O251" s="86"/>
      <c r="P251" s="86"/>
      <c r="Q251" s="86"/>
      <c r="R251" s="86"/>
      <c r="S251" s="86"/>
      <c r="T251" s="90"/>
    </row>
    <row r="252" spans="1:20" s="8" customFormat="1" ht="16" x14ac:dyDescent="0.4">
      <c r="A252" s="17"/>
      <c r="B252" s="37"/>
      <c r="C252" s="38"/>
      <c r="D252"/>
      <c r="E252"/>
      <c r="F252"/>
      <c r="G252"/>
      <c r="H252"/>
      <c r="I252"/>
      <c r="J252"/>
      <c r="L252"/>
      <c r="M252" s="44"/>
      <c r="N252" s="43"/>
      <c r="O252" s="38"/>
      <c r="P252" s="38"/>
      <c r="Q252" s="38"/>
      <c r="R252" s="38"/>
      <c r="S252" s="38"/>
      <c r="T252" s="27"/>
    </row>
    <row r="253" spans="1:20" s="8" customFormat="1" ht="16" x14ac:dyDescent="0.4">
      <c r="A253" s="17"/>
      <c r="B253" s="37"/>
      <c r="C253" s="38"/>
      <c r="D253"/>
      <c r="E253"/>
      <c r="F253"/>
      <c r="G253"/>
      <c r="H253"/>
      <c r="I253"/>
      <c r="J253"/>
      <c r="L253"/>
      <c r="M253" s="44"/>
      <c r="N253" s="43"/>
      <c r="O253" s="38"/>
      <c r="P253" s="38"/>
      <c r="Q253" s="38"/>
      <c r="R253" s="38"/>
      <c r="S253" s="38"/>
      <c r="T253" s="27"/>
    </row>
    <row r="254" spans="1:20" s="8" customFormat="1" ht="16" x14ac:dyDescent="0.4">
      <c r="A254" s="17"/>
      <c r="B254" s="37"/>
      <c r="C254" s="38"/>
      <c r="D254"/>
      <c r="E254"/>
      <c r="F254"/>
      <c r="G254"/>
      <c r="H254"/>
      <c r="I254"/>
      <c r="J254"/>
      <c r="L254"/>
      <c r="M254" s="44"/>
      <c r="N254" s="43"/>
      <c r="O254" s="38"/>
      <c r="P254" s="38"/>
      <c r="Q254" s="38"/>
      <c r="R254" s="38"/>
      <c r="S254" s="38"/>
      <c r="T254" s="27"/>
    </row>
    <row r="255" spans="1:20" s="8" customFormat="1" ht="16" x14ac:dyDescent="0.4">
      <c r="A255" s="17"/>
      <c r="B255" s="37"/>
      <c r="C255" s="38"/>
      <c r="D255"/>
      <c r="E255"/>
      <c r="F255"/>
      <c r="G255"/>
      <c r="H255"/>
      <c r="I255"/>
      <c r="J255"/>
      <c r="L255"/>
      <c r="M255" s="44"/>
      <c r="N255" s="43"/>
      <c r="O255" s="38"/>
      <c r="P255" s="38"/>
      <c r="Q255" s="38"/>
      <c r="R255" s="38"/>
      <c r="S255" s="38"/>
      <c r="T255" s="27"/>
    </row>
    <row r="256" spans="1:20" s="8" customFormat="1" ht="16" x14ac:dyDescent="0.4">
      <c r="A256" s="17"/>
      <c r="B256" s="37"/>
      <c r="C256" s="38"/>
      <c r="D256"/>
      <c r="E256"/>
      <c r="F256"/>
      <c r="G256"/>
      <c r="H256"/>
      <c r="I256"/>
      <c r="J256"/>
      <c r="L256"/>
      <c r="M256" s="44"/>
      <c r="N256" s="43"/>
      <c r="O256" s="38"/>
      <c r="P256" s="38"/>
      <c r="Q256" s="38"/>
      <c r="R256" s="38"/>
      <c r="S256" s="38"/>
      <c r="T256" s="27"/>
    </row>
    <row r="257" spans="1:20" s="8" customFormat="1" ht="16" x14ac:dyDescent="0.4">
      <c r="A257" s="17"/>
      <c r="B257" s="37"/>
      <c r="C257" s="38"/>
      <c r="D257"/>
      <c r="E257"/>
      <c r="F257"/>
      <c r="G257"/>
      <c r="H257"/>
      <c r="I257"/>
      <c r="J257"/>
      <c r="L257"/>
      <c r="M257" s="44"/>
      <c r="N257" s="43"/>
      <c r="O257" s="38"/>
      <c r="P257" s="38"/>
      <c r="Q257" s="38"/>
      <c r="R257" s="38"/>
      <c r="S257" s="38"/>
      <c r="T257" s="27"/>
    </row>
    <row r="258" spans="1:20" s="8" customFormat="1" ht="16" x14ac:dyDescent="0.4">
      <c r="A258" s="17"/>
      <c r="B258" s="37"/>
      <c r="C258" s="38"/>
      <c r="D258"/>
      <c r="E258"/>
      <c r="F258"/>
      <c r="G258"/>
      <c r="H258"/>
      <c r="I258"/>
      <c r="J258"/>
      <c r="L258"/>
      <c r="M258" s="44"/>
      <c r="N258" s="43"/>
      <c r="O258" s="38"/>
      <c r="P258" s="38"/>
      <c r="Q258" s="38"/>
      <c r="R258" s="38"/>
      <c r="S258" s="38"/>
      <c r="T258" s="27"/>
    </row>
    <row r="259" spans="1:20" s="8" customFormat="1" ht="16" x14ac:dyDescent="0.4">
      <c r="A259" s="17"/>
      <c r="B259" s="37"/>
      <c r="C259" s="38"/>
      <c r="D259"/>
      <c r="E259"/>
      <c r="F259"/>
      <c r="G259"/>
      <c r="H259"/>
      <c r="I259"/>
      <c r="J259"/>
      <c r="L259"/>
      <c r="M259" s="44"/>
      <c r="N259" s="43"/>
      <c r="O259" s="38"/>
      <c r="P259" s="38"/>
      <c r="Q259" s="38"/>
      <c r="R259" s="38"/>
      <c r="S259" s="38"/>
      <c r="T259" s="27"/>
    </row>
    <row r="260" spans="1:20" s="8" customFormat="1" ht="16" x14ac:dyDescent="0.4">
      <c r="A260" s="17"/>
      <c r="B260" s="37"/>
      <c r="C260" s="38"/>
      <c r="D260"/>
      <c r="E260"/>
      <c r="F260"/>
      <c r="G260"/>
      <c r="H260"/>
      <c r="I260"/>
      <c r="J260"/>
      <c r="L260"/>
      <c r="M260" s="44"/>
      <c r="N260" s="43"/>
      <c r="O260" s="38"/>
      <c r="P260" s="38"/>
      <c r="Q260" s="38"/>
      <c r="R260" s="38"/>
      <c r="S260" s="38"/>
      <c r="T260" s="27"/>
    </row>
    <row r="261" spans="1:20" s="8" customFormat="1" ht="16" x14ac:dyDescent="0.4">
      <c r="A261" s="17"/>
      <c r="B261" s="37"/>
      <c r="C261" s="38"/>
      <c r="D261"/>
      <c r="E261"/>
      <c r="F261"/>
      <c r="G261"/>
      <c r="H261"/>
      <c r="I261"/>
      <c r="J261"/>
      <c r="L261"/>
      <c r="M261" s="44"/>
      <c r="N261" s="43"/>
      <c r="O261" s="38"/>
      <c r="P261" s="38"/>
      <c r="Q261" s="38"/>
      <c r="R261" s="38"/>
      <c r="S261" s="38"/>
      <c r="T261" s="27"/>
    </row>
    <row r="262" spans="1:20" s="8" customFormat="1" ht="16" x14ac:dyDescent="0.4">
      <c r="A262" s="17"/>
      <c r="B262" s="37"/>
      <c r="C262" s="38"/>
      <c r="D262"/>
      <c r="E262"/>
      <c r="F262"/>
      <c r="G262"/>
      <c r="H262"/>
      <c r="I262"/>
      <c r="J262"/>
      <c r="L262"/>
      <c r="M262" s="44"/>
      <c r="N262" s="43"/>
      <c r="O262" s="38"/>
      <c r="P262" s="38"/>
      <c r="Q262" s="38"/>
      <c r="R262" s="38"/>
      <c r="S262" s="38"/>
      <c r="T262" s="27"/>
    </row>
    <row r="263" spans="1:20" s="8" customFormat="1" ht="16" x14ac:dyDescent="0.4">
      <c r="A263" s="17"/>
      <c r="B263" s="37"/>
      <c r="C263" s="38"/>
      <c r="D263"/>
      <c r="E263"/>
      <c r="F263"/>
      <c r="G263"/>
      <c r="H263"/>
      <c r="I263"/>
      <c r="J263"/>
      <c r="L263"/>
      <c r="M263" s="44"/>
      <c r="N263" s="43"/>
      <c r="O263" s="38"/>
      <c r="P263" s="38"/>
      <c r="Q263" s="38"/>
      <c r="R263" s="38"/>
      <c r="S263" s="38"/>
      <c r="T263" s="27"/>
    </row>
    <row r="264" spans="1:20" s="8" customFormat="1" ht="16" x14ac:dyDescent="0.4">
      <c r="A264" s="17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O264" s="38"/>
      <c r="P264" s="38"/>
      <c r="Q264" s="38"/>
      <c r="R264" s="38"/>
      <c r="S264" s="38"/>
      <c r="T264" s="27"/>
    </row>
    <row r="265" spans="1:20" s="8" customFormat="1" ht="16" x14ac:dyDescent="0.4">
      <c r="A265" s="17"/>
      <c r="B265" s="37"/>
      <c r="C265" s="38"/>
      <c r="D265" s="38"/>
      <c r="E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24"/>
    </row>
    <row r="266" spans="1:20" s="8" customFormat="1" ht="16" x14ac:dyDescent="0.4">
      <c r="A266" s="17"/>
      <c r="B266" s="37"/>
      <c r="C266" s="38"/>
      <c r="D266" s="80"/>
      <c r="E266"/>
      <c r="F266"/>
      <c r="G266" s="38"/>
      <c r="H266" s="91"/>
      <c r="I266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27"/>
    </row>
    <row r="267" spans="1:20" s="8" customFormat="1" ht="16" x14ac:dyDescent="0.4">
      <c r="A267" s="17"/>
      <c r="B267" s="37"/>
      <c r="C267" s="38"/>
      <c r="D267"/>
      <c r="E267"/>
      <c r="F267"/>
      <c r="G267" s="38"/>
      <c r="H267" s="91"/>
      <c r="I267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27"/>
    </row>
    <row r="268" spans="1:20" s="8" customFormat="1" ht="16" x14ac:dyDescent="0.4">
      <c r="A268" s="17"/>
      <c r="B268" s="37"/>
      <c r="C268" s="38"/>
      <c r="D268"/>
      <c r="E268"/>
      <c r="F268"/>
      <c r="G268" s="38"/>
      <c r="H268" s="91"/>
      <c r="I26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27"/>
    </row>
    <row r="269" spans="1:20" s="8" customFormat="1" ht="16" x14ac:dyDescent="0.4">
      <c r="A269" s="17"/>
      <c r="B269" s="37"/>
      <c r="C269" s="38"/>
      <c r="D269"/>
      <c r="E269"/>
      <c r="F269"/>
      <c r="G269" s="38"/>
      <c r="H269" s="91"/>
      <c r="I269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27"/>
    </row>
    <row r="270" spans="1:20" s="8" customFormat="1" ht="16" x14ac:dyDescent="0.4">
      <c r="A270" s="17"/>
      <c r="B270" s="37"/>
      <c r="C270" s="38"/>
      <c r="D270"/>
      <c r="E270"/>
      <c r="F270"/>
      <c r="G270" s="38"/>
      <c r="H270" s="91"/>
      <c r="I270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27"/>
    </row>
    <row r="271" spans="1:20" s="8" customFormat="1" ht="16" x14ac:dyDescent="0.4">
      <c r="A271" s="17"/>
      <c r="B271" s="37"/>
      <c r="C271" s="38"/>
      <c r="D271"/>
      <c r="E271"/>
      <c r="F271"/>
      <c r="G271" s="38"/>
      <c r="H271" s="91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27"/>
    </row>
    <row r="272" spans="1:20" s="8" customFormat="1" ht="16" x14ac:dyDescent="0.4">
      <c r="A272" s="17"/>
      <c r="B272" s="37"/>
      <c r="C272" s="38"/>
      <c r="D272"/>
      <c r="E272"/>
      <c r="F272"/>
      <c r="G272" s="79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27"/>
    </row>
    <row r="273" spans="1:20" s="8" customFormat="1" ht="16" x14ac:dyDescent="0.4">
      <c r="A273" s="17"/>
      <c r="B273" s="37"/>
      <c r="C273" s="38"/>
      <c r="D273"/>
      <c r="E273"/>
      <c r="F273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27"/>
    </row>
    <row r="274" spans="1:20" s="8" customFormat="1" ht="16" x14ac:dyDescent="0.4">
      <c r="A274" s="17"/>
      <c r="B274" s="37"/>
      <c r="C274" s="38"/>
      <c r="D274"/>
      <c r="E274"/>
      <c r="F274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27"/>
    </row>
    <row r="275" spans="1:20" s="8" customFormat="1" ht="16" x14ac:dyDescent="0.4">
      <c r="A275" s="17"/>
      <c r="B275" s="37"/>
      <c r="C275" s="38"/>
      <c r="D275"/>
      <c r="E275"/>
      <c r="F275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27"/>
    </row>
    <row r="276" spans="1:20" s="8" customFormat="1" ht="14.4" customHeight="1" x14ac:dyDescent="0.35">
      <c r="A276" s="36"/>
      <c r="B276" s="48"/>
      <c r="C276" s="49"/>
      <c r="D276" s="49"/>
      <c r="E276" s="49"/>
      <c r="F276" s="48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20"/>
    </row>
    <row r="277" spans="1:20" s="8" customFormat="1" ht="16" x14ac:dyDescent="0.4">
      <c r="A277" s="17"/>
      <c r="B277" s="37"/>
      <c r="C277" s="38"/>
      <c r="D277" s="38"/>
      <c r="E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24"/>
    </row>
    <row r="278" spans="1:20" s="8" customFormat="1" ht="16" x14ac:dyDescent="0.4">
      <c r="A278" s="17"/>
      <c r="B278" s="37"/>
      <c r="C278" s="38"/>
      <c r="D278" s="80"/>
      <c r="E278"/>
      <c r="F278" s="37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27"/>
    </row>
    <row r="279" spans="1:20" s="25" customFormat="1" ht="16" x14ac:dyDescent="0.4">
      <c r="A279" s="34"/>
      <c r="B279" s="51"/>
      <c r="C279" s="44"/>
      <c r="D279" s="4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92"/>
      <c r="Q279" s="44"/>
      <c r="R279" s="44"/>
      <c r="S279" s="44"/>
      <c r="T279" s="93"/>
    </row>
    <row r="280" spans="1:20" s="25" customFormat="1" ht="16" x14ac:dyDescent="0.4">
      <c r="A280" s="34"/>
      <c r="B280" s="51"/>
      <c r="C280" s="44"/>
      <c r="D280" s="4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92"/>
      <c r="Q280" s="44"/>
      <c r="R280" s="44"/>
      <c r="S280" s="44"/>
      <c r="T280" s="93"/>
    </row>
    <row r="281" spans="1:20" s="71" customFormat="1" ht="16" x14ac:dyDescent="0.4">
      <c r="A281" s="67"/>
      <c r="B281" s="76"/>
      <c r="C281" s="69"/>
      <c r="D281" s="43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94"/>
    </row>
    <row r="282" spans="1:20" s="25" customFormat="1" ht="16" x14ac:dyDescent="0.4">
      <c r="A282" s="34"/>
      <c r="B282" s="51"/>
      <c r="C282" s="44"/>
      <c r="D282" s="44"/>
      <c r="E282" s="4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93"/>
    </row>
    <row r="283" spans="1:20" s="8" customFormat="1" ht="16" x14ac:dyDescent="0.4">
      <c r="A283" s="17"/>
      <c r="B283" s="37"/>
      <c r="C283" s="38"/>
      <c r="D283" s="38"/>
      <c r="E283" s="38"/>
      <c r="F283" s="37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27"/>
    </row>
    <row r="284" spans="1:20" s="8" customFormat="1" ht="16.5" thickBot="1" x14ac:dyDescent="0.45">
      <c r="A284" s="55"/>
      <c r="B284" s="56"/>
      <c r="C284" s="57"/>
      <c r="D284" s="57"/>
      <c r="E284" s="57"/>
      <c r="F284" s="56"/>
      <c r="G284" s="58"/>
      <c r="H284" s="59"/>
      <c r="I284" s="59"/>
      <c r="J284" s="59"/>
      <c r="K284" s="59"/>
      <c r="L284" s="59"/>
      <c r="M284" s="59"/>
      <c r="N284" s="59"/>
      <c r="O284" s="57"/>
      <c r="P284" s="57"/>
      <c r="Q284" s="57"/>
      <c r="R284" s="57"/>
      <c r="S284" s="57"/>
      <c r="T284" s="60"/>
    </row>
    <row r="285" spans="1:20" s="8" customFormat="1" ht="14.4" customHeight="1" x14ac:dyDescent="0.4">
      <c r="A285" s="17"/>
      <c r="B285" s="48"/>
      <c r="C285" s="49"/>
      <c r="D285" s="49"/>
      <c r="E285" s="49"/>
      <c r="F285" s="48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20"/>
    </row>
    <row r="286" spans="1:20" s="8" customFormat="1" ht="16" x14ac:dyDescent="0.4">
      <c r="A286" s="17"/>
      <c r="B286" s="37"/>
      <c r="C286" s="38"/>
      <c r="D286" s="38"/>
      <c r="E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24"/>
    </row>
    <row r="287" spans="1:20" s="8" customFormat="1" ht="16" x14ac:dyDescent="0.4">
      <c r="A287" s="17"/>
      <c r="B287" s="37"/>
      <c r="C287" s="38"/>
      <c r="D287"/>
      <c r="E287"/>
      <c r="F287"/>
      <c r="G287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27"/>
    </row>
    <row r="288" spans="1:20" s="8" customFormat="1" ht="16" x14ac:dyDescent="0.4">
      <c r="A288" s="17"/>
      <c r="B288" s="37"/>
      <c r="C288" s="38"/>
      <c r="D288"/>
      <c r="E288" s="50"/>
      <c r="F288" s="50"/>
      <c r="G288" s="50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27"/>
    </row>
    <row r="289" spans="1:20" s="8" customFormat="1" ht="16" x14ac:dyDescent="0.4">
      <c r="A289" s="17"/>
      <c r="B289" s="37"/>
      <c r="C289" s="38"/>
      <c r="D289"/>
      <c r="E289" s="50"/>
      <c r="F289" s="50"/>
      <c r="G289" s="50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27"/>
    </row>
    <row r="290" spans="1:20" s="8" customFormat="1" ht="16" x14ac:dyDescent="0.4">
      <c r="A290" s="17"/>
      <c r="B290" s="37"/>
      <c r="C290" s="38"/>
      <c r="D290"/>
      <c r="E290" s="50"/>
      <c r="F290" s="50"/>
      <c r="G290" s="50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27"/>
    </row>
    <row r="291" spans="1:20" s="8" customFormat="1" ht="16" x14ac:dyDescent="0.4">
      <c r="A291" s="17"/>
      <c r="B291" s="37"/>
      <c r="C291" s="38"/>
      <c r="D291"/>
      <c r="E291" s="50"/>
      <c r="F291" s="50"/>
      <c r="G291" s="50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27"/>
    </row>
    <row r="292" spans="1:20" s="25" customFormat="1" ht="16" x14ac:dyDescent="0.4">
      <c r="A292" s="34"/>
      <c r="B292" s="51"/>
      <c r="C292" s="44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4"/>
      <c r="S292" s="44"/>
      <c r="T292" s="93"/>
    </row>
    <row r="293" spans="1:20" s="8" customFormat="1" ht="16" x14ac:dyDescent="0.4">
      <c r="A293" s="17"/>
      <c r="B293" s="37"/>
      <c r="C293" s="38"/>
      <c r="D293"/>
      <c r="E293" s="50"/>
      <c r="F293" s="50"/>
      <c r="G293" s="50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27"/>
    </row>
    <row r="294" spans="1:20" s="8" customFormat="1" ht="16" x14ac:dyDescent="0.4">
      <c r="A294" s="17"/>
      <c r="B294" s="37"/>
      <c r="C294" s="38"/>
      <c r="E294" s="50"/>
      <c r="F294" s="50"/>
      <c r="G294" s="50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27"/>
    </row>
    <row r="295" spans="1:20" s="25" customFormat="1" ht="16" x14ac:dyDescent="0.4">
      <c r="A295" s="34"/>
      <c r="B295" s="51"/>
      <c r="C295" s="44"/>
      <c r="D295" s="42"/>
      <c r="E295" s="42"/>
      <c r="F295" s="42"/>
      <c r="G295" s="42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93"/>
    </row>
    <row r="296" spans="1:20" s="8" customFormat="1" ht="16" x14ac:dyDescent="0.4">
      <c r="A296" s="17"/>
      <c r="B296" s="37"/>
      <c r="C296" s="38"/>
      <c r="D296"/>
      <c r="E296" s="50"/>
      <c r="F296" s="50"/>
      <c r="G296" s="50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27"/>
    </row>
    <row r="297" spans="1:20" s="79" customFormat="1" ht="16" x14ac:dyDescent="0.4">
      <c r="A297" s="82"/>
      <c r="B297" s="48"/>
      <c r="C297" s="49"/>
      <c r="D297" s="49"/>
      <c r="E297" s="49"/>
      <c r="F297" s="48"/>
      <c r="H297" s="49"/>
      <c r="I297" s="49"/>
      <c r="J297" s="49"/>
      <c r="K297" s="49"/>
      <c r="L297" s="49"/>
      <c r="M297" s="49"/>
      <c r="N297" s="49"/>
      <c r="O297" s="49"/>
      <c r="P297" s="49"/>
      <c r="Q297" s="95"/>
      <c r="R297" s="95"/>
      <c r="S297" s="95"/>
      <c r="T297" s="83"/>
    </row>
    <row r="298" spans="1:20" s="8" customFormat="1" ht="16" x14ac:dyDescent="0.4">
      <c r="A298" s="17"/>
      <c r="B298" s="37"/>
      <c r="C298" s="38"/>
      <c r="D298" s="38"/>
      <c r="E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24"/>
    </row>
    <row r="299" spans="1:20" s="8" customFormat="1" ht="16" x14ac:dyDescent="0.4">
      <c r="A299" s="17"/>
      <c r="B299" s="37"/>
      <c r="C299" s="38"/>
      <c r="D299"/>
      <c r="E299"/>
      <c r="F299"/>
      <c r="G299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27"/>
    </row>
    <row r="300" spans="1:20" s="8" customFormat="1" ht="16" x14ac:dyDescent="0.4">
      <c r="A300" s="17"/>
      <c r="B300" s="37"/>
      <c r="C300" s="38"/>
      <c r="D300"/>
      <c r="E300" s="50"/>
      <c r="F300" s="50"/>
      <c r="G300" s="50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27"/>
    </row>
    <row r="301" spans="1:20" s="8" customFormat="1" ht="16" x14ac:dyDescent="0.4">
      <c r="A301" s="17"/>
      <c r="B301" s="37"/>
      <c r="C301" s="38"/>
      <c r="D301" s="38"/>
      <c r="E301" s="38"/>
      <c r="F301" s="37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27"/>
    </row>
    <row r="302" spans="1:20" s="8" customFormat="1" ht="16" x14ac:dyDescent="0.4">
      <c r="A302" s="17"/>
      <c r="B302" s="37"/>
      <c r="C302" s="38"/>
      <c r="D302"/>
      <c r="E302" s="29"/>
      <c r="F302" s="29"/>
      <c r="G302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27"/>
    </row>
    <row r="303" spans="1:20" s="8" customFormat="1" ht="16" x14ac:dyDescent="0.4">
      <c r="A303" s="17"/>
      <c r="B303" s="37"/>
      <c r="C303" s="38"/>
      <c r="D303"/>
      <c r="E303" s="42"/>
      <c r="F303" s="42"/>
      <c r="G303" s="43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27"/>
    </row>
    <row r="304" spans="1:20" s="8" customFormat="1" ht="16" x14ac:dyDescent="0.4">
      <c r="A304" s="17"/>
      <c r="B304" s="37"/>
      <c r="C304" s="38"/>
      <c r="D304"/>
      <c r="E304" s="42"/>
      <c r="F304" s="42"/>
      <c r="G304" s="43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27"/>
    </row>
    <row r="305" spans="1:20" s="8" customFormat="1" ht="16" x14ac:dyDescent="0.4">
      <c r="A305" s="17"/>
      <c r="B305" s="37"/>
      <c r="C305" s="38"/>
      <c r="D305"/>
      <c r="E305" s="42"/>
      <c r="F305" s="42"/>
      <c r="G305" s="43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27"/>
    </row>
    <row r="306" spans="1:20" s="8" customFormat="1" ht="16" x14ac:dyDescent="0.4">
      <c r="A306" s="17"/>
      <c r="B306" s="37"/>
      <c r="C306" s="38"/>
      <c r="D306"/>
      <c r="E306" s="42"/>
      <c r="F306" s="42"/>
      <c r="G306" s="43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27"/>
    </row>
    <row r="307" spans="1:20" s="8" customFormat="1" ht="16" x14ac:dyDescent="0.4">
      <c r="A307" s="17"/>
      <c r="B307" s="37"/>
      <c r="C307" s="38"/>
      <c r="D307"/>
      <c r="E307" s="42"/>
      <c r="F307" s="42"/>
      <c r="G307" s="43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27"/>
    </row>
    <row r="308" spans="1:20" s="8" customFormat="1" ht="16" x14ac:dyDescent="0.4">
      <c r="A308" s="17"/>
      <c r="B308" s="37"/>
      <c r="C308" s="38"/>
      <c r="D308"/>
      <c r="E308" s="42"/>
      <c r="F308" s="42"/>
      <c r="G308" s="43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27"/>
    </row>
    <row r="309" spans="1:20" s="8" customFormat="1" ht="16" x14ac:dyDescent="0.4">
      <c r="A309" s="17"/>
      <c r="B309" s="37"/>
      <c r="C309" s="38"/>
      <c r="D309"/>
      <c r="E309" s="42"/>
      <c r="F309" s="42"/>
      <c r="G309" s="43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27"/>
    </row>
    <row r="310" spans="1:20" s="8" customFormat="1" ht="16" x14ac:dyDescent="0.4">
      <c r="A310" s="17"/>
      <c r="B310" s="37"/>
      <c r="C310" s="38"/>
      <c r="D310"/>
      <c r="E310" s="42"/>
      <c r="F310" s="42"/>
      <c r="G310" s="43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27"/>
    </row>
    <row r="311" spans="1:20" s="25" customFormat="1" ht="16" x14ac:dyDescent="0.4">
      <c r="A311" s="34"/>
      <c r="B311" s="51"/>
      <c r="C311" s="44"/>
      <c r="D311" s="42"/>
      <c r="E311" s="42"/>
      <c r="F311" s="42"/>
      <c r="G311" s="42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93"/>
    </row>
    <row r="312" spans="1:20" s="25" customFormat="1" ht="16" x14ac:dyDescent="0.4">
      <c r="A312" s="34"/>
      <c r="B312" s="51"/>
      <c r="C312" s="44"/>
      <c r="D312" s="42"/>
      <c r="E312" s="42"/>
      <c r="F312" s="42"/>
      <c r="G312" s="42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93"/>
    </row>
    <row r="313" spans="1:20" s="79" customFormat="1" ht="16" x14ac:dyDescent="0.4">
      <c r="A313" s="82"/>
      <c r="B313" s="48"/>
      <c r="C313" s="49"/>
      <c r="D313" s="49"/>
      <c r="E313" s="49"/>
      <c r="F313" s="48"/>
      <c r="H313" s="49"/>
      <c r="I313" s="49"/>
      <c r="J313" s="49"/>
      <c r="K313" s="49"/>
      <c r="L313" s="49"/>
      <c r="M313" s="49"/>
      <c r="N313" s="49"/>
      <c r="O313" s="49"/>
      <c r="P313" s="49"/>
      <c r="Q313" s="95"/>
      <c r="R313" s="95"/>
      <c r="S313" s="95"/>
      <c r="T313" s="83"/>
    </row>
    <row r="314" spans="1:20" s="8" customFormat="1" ht="16" hidden="1" x14ac:dyDescent="0.4">
      <c r="A314" s="17"/>
      <c r="B314" s="37"/>
      <c r="C314" s="38"/>
      <c r="D314" s="38"/>
      <c r="E314" s="38"/>
      <c r="F314" s="37"/>
      <c r="G314" s="96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31"/>
    </row>
    <row r="315" spans="1:20" s="8" customFormat="1" ht="16" x14ac:dyDescent="0.4">
      <c r="A315" s="17"/>
      <c r="B315" s="48"/>
      <c r="C315" s="49"/>
      <c r="D315" s="49"/>
      <c r="E315" s="38"/>
      <c r="F315" s="37"/>
      <c r="G315" s="96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31"/>
    </row>
    <row r="316" spans="1:20" s="8" customFormat="1" ht="16" x14ac:dyDescent="0.4">
      <c r="A316" s="17"/>
      <c r="B316" s="37"/>
      <c r="C316" s="38"/>
      <c r="D316" s="38"/>
      <c r="E316" s="38"/>
      <c r="F316" s="37"/>
      <c r="G316" s="96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31"/>
    </row>
    <row r="317" spans="1:20" s="8" customFormat="1" ht="16" x14ac:dyDescent="0.4">
      <c r="A317" s="17"/>
      <c r="B317" s="37"/>
      <c r="C317" s="38"/>
      <c r="D317" s="38"/>
      <c r="E317" s="97"/>
      <c r="F317" s="37"/>
      <c r="G317" s="96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31"/>
    </row>
    <row r="318" spans="1:20" s="8" customFormat="1" ht="16" x14ac:dyDescent="0.4">
      <c r="A318" s="17"/>
      <c r="B318" s="37"/>
      <c r="C318" s="38"/>
      <c r="E318" s="38"/>
      <c r="F318" s="37"/>
      <c r="G318" s="96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31"/>
    </row>
    <row r="319" spans="1:20" s="8" customFormat="1" ht="16" x14ac:dyDescent="0.4">
      <c r="A319" s="17"/>
      <c r="B319" s="37"/>
      <c r="C319" s="38"/>
      <c r="D319" s="38"/>
      <c r="E319" s="38"/>
      <c r="F319" s="37"/>
      <c r="G319" s="96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31"/>
    </row>
    <row r="320" spans="1:20" s="8" customFormat="1" ht="16" x14ac:dyDescent="0.4">
      <c r="A320" s="17"/>
      <c r="B320" s="37"/>
      <c r="C320" s="38"/>
      <c r="D320" s="38"/>
      <c r="E320" s="97"/>
      <c r="F320" s="37"/>
      <c r="G320" s="96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31"/>
    </row>
    <row r="321" spans="1:20" s="8" customFormat="1" ht="16" x14ac:dyDescent="0.4">
      <c r="A321" s="17"/>
      <c r="B321" s="37"/>
      <c r="C321" s="38"/>
      <c r="D321" s="38"/>
      <c r="E321" s="38"/>
      <c r="F321" s="37"/>
      <c r="G321" s="96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31"/>
    </row>
    <row r="322" spans="1:20" s="8" customFormat="1" ht="14.4" customHeight="1" x14ac:dyDescent="0.4">
      <c r="A322" s="17"/>
      <c r="B322" s="48"/>
      <c r="C322" s="49"/>
      <c r="D322" s="49"/>
      <c r="E322" s="49"/>
      <c r="F322" s="48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20"/>
    </row>
    <row r="323" spans="1:20" s="8" customFormat="1" ht="16" x14ac:dyDescent="0.4">
      <c r="A323" s="17"/>
      <c r="B323" s="37"/>
      <c r="C323" s="38"/>
      <c r="D323" s="38"/>
      <c r="E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24"/>
    </row>
    <row r="324" spans="1:20" s="25" customFormat="1" ht="16" x14ac:dyDescent="0.4">
      <c r="A324" s="34"/>
      <c r="B324" s="51"/>
      <c r="C324" s="44"/>
      <c r="D324" s="44"/>
      <c r="E324" s="44"/>
      <c r="F324" s="52"/>
      <c r="G324" s="52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35"/>
    </row>
    <row r="325" spans="1:20" s="25" customFormat="1" ht="16" x14ac:dyDescent="0.4">
      <c r="A325" s="34"/>
      <c r="B325" s="51"/>
      <c r="C325" s="44"/>
      <c r="D325" s="44"/>
      <c r="E325" s="44"/>
      <c r="F325" s="52"/>
      <c r="G325" s="52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35"/>
    </row>
    <row r="326" spans="1:20" s="8" customFormat="1" ht="16" x14ac:dyDescent="0.4">
      <c r="A326" s="17"/>
      <c r="B326" s="37"/>
      <c r="C326" s="38"/>
      <c r="D326" s="38"/>
      <c r="E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24"/>
    </row>
    <row r="327" spans="1:20" s="8" customFormat="1" ht="14.4" customHeight="1" x14ac:dyDescent="0.4">
      <c r="A327" s="17"/>
      <c r="B327" s="48"/>
      <c r="C327" s="38"/>
      <c r="D327" s="38"/>
      <c r="E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24"/>
    </row>
    <row r="328" spans="1:20" s="8" customFormat="1" ht="14.4" customHeight="1" x14ac:dyDescent="0.4">
      <c r="A328" s="17"/>
      <c r="B328" s="48"/>
      <c r="C328" s="38"/>
      <c r="D328"/>
      <c r="E328"/>
      <c r="F328" s="29"/>
      <c r="G328" s="29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24"/>
    </row>
    <row r="329" spans="1:20" s="8" customFormat="1" ht="14.4" customHeight="1" x14ac:dyDescent="0.4">
      <c r="A329" s="17"/>
      <c r="B329" s="48"/>
      <c r="C329" s="38"/>
      <c r="D329"/>
      <c r="E329" s="42"/>
      <c r="F329" s="43"/>
      <c r="G329" s="42"/>
      <c r="I329" s="52"/>
      <c r="O329" s="38"/>
      <c r="P329" s="38"/>
      <c r="Q329" s="38"/>
      <c r="R329" s="38"/>
      <c r="S329" s="38"/>
      <c r="T329" s="24"/>
    </row>
    <row r="330" spans="1:20" s="8" customFormat="1" ht="14.4" customHeight="1" x14ac:dyDescent="0.4">
      <c r="A330" s="17"/>
      <c r="B330" s="48"/>
      <c r="C330" s="49"/>
      <c r="D330"/>
      <c r="E330" s="42"/>
      <c r="F330" s="43"/>
      <c r="G330" s="42"/>
      <c r="I330" s="52"/>
      <c r="T330" s="27"/>
    </row>
    <row r="331" spans="1:20" s="8" customFormat="1" ht="14.4" customHeight="1" x14ac:dyDescent="0.4">
      <c r="A331" s="17"/>
      <c r="B331" s="48"/>
      <c r="C331" s="38"/>
      <c r="D331"/>
      <c r="E331" s="42"/>
      <c r="F331" s="43"/>
      <c r="G331" s="42"/>
      <c r="H331" s="38"/>
      <c r="I331" s="44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24"/>
    </row>
    <row r="332" spans="1:20" s="8" customFormat="1" ht="14.4" customHeight="1" x14ac:dyDescent="0.4">
      <c r="A332" s="17"/>
      <c r="B332" s="48"/>
      <c r="C332" s="38"/>
      <c r="D332"/>
      <c r="E332" s="42"/>
      <c r="F332" s="43"/>
      <c r="G332" s="42"/>
      <c r="H332" s="38"/>
      <c r="I332" s="44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24"/>
    </row>
    <row r="333" spans="1:20" s="8" customFormat="1" ht="14.4" customHeight="1" x14ac:dyDescent="0.4">
      <c r="A333" s="17"/>
      <c r="B333" s="48"/>
      <c r="C333" s="38"/>
      <c r="D333"/>
      <c r="E333" s="19"/>
      <c r="F333"/>
      <c r="G333" s="19"/>
      <c r="H333" s="38"/>
      <c r="I333" s="44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24"/>
    </row>
    <row r="334" spans="1:20" s="8" customFormat="1" ht="14.4" customHeight="1" x14ac:dyDescent="0.4">
      <c r="A334" s="17"/>
      <c r="B334" s="48"/>
      <c r="C334" s="38"/>
      <c r="D334"/>
      <c r="E334"/>
      <c r="F334"/>
      <c r="G334" s="43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24"/>
    </row>
    <row r="335" spans="1:20" s="8" customFormat="1" ht="14.4" customHeight="1" x14ac:dyDescent="0.4">
      <c r="A335" s="17"/>
      <c r="B335" s="48"/>
      <c r="C335" s="38"/>
      <c r="D335" s="38"/>
      <c r="E335" s="38"/>
      <c r="F335" s="37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24"/>
    </row>
    <row r="336" spans="1:20" s="8" customFormat="1" ht="14.4" customHeight="1" x14ac:dyDescent="0.4">
      <c r="A336" s="17"/>
      <c r="B336" s="48"/>
      <c r="C336" s="38"/>
      <c r="D336" s="38"/>
      <c r="E336" s="38"/>
      <c r="F336" s="37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24"/>
    </row>
    <row r="337" spans="1:20" s="8" customFormat="1" ht="14.4" customHeight="1" x14ac:dyDescent="0.4">
      <c r="A337" s="17"/>
      <c r="B337" s="48"/>
      <c r="C337" s="49"/>
      <c r="D337" s="49"/>
      <c r="E337" s="49"/>
      <c r="F337" s="48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20"/>
    </row>
    <row r="338" spans="1:20" s="8" customFormat="1" ht="14.4" customHeight="1" thickBot="1" x14ac:dyDescent="0.45">
      <c r="A338" s="55"/>
      <c r="B338" s="98"/>
      <c r="C338" s="99"/>
      <c r="D338" s="99"/>
      <c r="E338" s="99"/>
      <c r="F338" s="9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100"/>
    </row>
  </sheetData>
  <sheetProtection algorithmName="SHA-512" hashValue="oARalNfBgt2c7dgtFcISNWuXkZzjTzRzI93vYt63HtJYle7sDYFaPvmJIkZB9ZghCv67GI+KmAJ056Ki8RsyXg==" saltValue="ZUnUAXc68Pt7cyeDmjPOHA==" spinCount="100000" sheet="1" objects="1" scenarios="1"/>
  <mergeCells count="1">
    <mergeCell ref="A1:T4"/>
  </mergeCells>
  <pageMargins left="0.7" right="0.7" top="0.75" bottom="0.75" header="0.3" footer="0.3"/>
  <pageSetup paperSize="9" scale="34" fitToHeight="0" orientation="portrait" r:id="rId1"/>
  <rowBreaks count="2" manualBreakCount="2">
    <brk id="105" max="19" man="1"/>
    <brk id="284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C3D0-7A47-40BB-BD3A-11323014F676}">
  <dimension ref="A1:AQ33"/>
  <sheetViews>
    <sheetView workbookViewId="0">
      <pane xSplit="2" ySplit="2" topLeftCell="C3" activePane="bottomRight" state="frozen"/>
      <selection activeCell="I10" sqref="I10"/>
      <selection pane="topRight" activeCell="I10" sqref="I10"/>
      <selection pane="bottomLeft" activeCell="I10" sqref="I10"/>
      <selection pane="bottomRight" activeCell="AL27" sqref="AL27"/>
    </sheetView>
  </sheetViews>
  <sheetFormatPr defaultRowHeight="14.5" outlineLevelCol="1" x14ac:dyDescent="0.35"/>
  <cols>
    <col min="1" max="1" width="8.7265625" style="133" customWidth="1" outlineLevel="1"/>
    <col min="2" max="2" width="8.81640625" style="133" customWidth="1" outlineLevel="1"/>
    <col min="3" max="3" width="9.1796875" style="133" customWidth="1" outlineLevel="1"/>
    <col min="4" max="4" width="9.08984375" style="133" customWidth="1" outlineLevel="1"/>
    <col min="5" max="5" width="9.1796875" style="133" customWidth="1" outlineLevel="1"/>
    <col min="6" max="10" width="9.08984375" style="133" customWidth="1" outlineLevel="1"/>
    <col min="11" max="11" width="8.81640625" style="133" customWidth="1" outlineLevel="1"/>
    <col min="12" max="20" width="9.08984375" style="133" customWidth="1" outlineLevel="1"/>
    <col min="21" max="21" width="9.1796875" style="133" customWidth="1" outlineLevel="1"/>
    <col min="22" max="29" width="9.08984375" style="133" customWidth="1" outlineLevel="1"/>
    <col min="30" max="30" width="9.1796875" style="133" customWidth="1" outlineLevel="1"/>
    <col min="31" max="34" width="9.08984375" style="133" customWidth="1" outlineLevel="1"/>
    <col min="35" max="35" width="8.81640625" style="133" customWidth="1" outlineLevel="1"/>
    <col min="36" max="36" width="9.08984375" style="133" customWidth="1" outlineLevel="1"/>
    <col min="37" max="38" width="8.81640625" style="133" customWidth="1" outlineLevel="1"/>
    <col min="39" max="39" width="8.7265625" style="133" customWidth="1" outlineLevel="1"/>
    <col min="40" max="42" width="9.08984375" style="133" customWidth="1" outlineLevel="1"/>
    <col min="43" max="43" width="8.7265625" style="133" customWidth="1" outlineLevel="1"/>
    <col min="44" max="16384" width="8.7265625" style="133"/>
  </cols>
  <sheetData>
    <row r="1" spans="2:42" x14ac:dyDescent="0.35">
      <c r="C1" s="201" t="s">
        <v>2</v>
      </c>
      <c r="D1" s="201"/>
      <c r="E1" s="201"/>
      <c r="F1" s="201" t="s">
        <v>3</v>
      </c>
      <c r="G1" s="201"/>
      <c r="H1" s="201"/>
      <c r="I1" s="201" t="s">
        <v>4</v>
      </c>
      <c r="J1" s="201"/>
      <c r="K1" s="201"/>
      <c r="L1" s="201" t="s">
        <v>5</v>
      </c>
      <c r="M1" s="201"/>
      <c r="N1" s="201"/>
      <c r="O1" s="201" t="s">
        <v>6</v>
      </c>
      <c r="P1" s="201"/>
      <c r="Q1" s="201"/>
      <c r="R1" s="201" t="s">
        <v>7</v>
      </c>
      <c r="S1" s="201"/>
      <c r="T1" s="201"/>
      <c r="U1" s="201" t="s">
        <v>8</v>
      </c>
      <c r="V1" s="201"/>
      <c r="W1" s="201"/>
      <c r="X1" s="201" t="s">
        <v>9</v>
      </c>
      <c r="Y1" s="201"/>
      <c r="Z1" s="201"/>
      <c r="AA1" s="201" t="s">
        <v>10</v>
      </c>
      <c r="AB1" s="201"/>
      <c r="AC1" s="201"/>
      <c r="AD1" s="201" t="s">
        <v>11</v>
      </c>
      <c r="AE1" s="201"/>
      <c r="AF1" s="201"/>
      <c r="AG1" s="201" t="s">
        <v>12</v>
      </c>
      <c r="AH1" s="201"/>
      <c r="AI1" s="201"/>
      <c r="AJ1" s="201" t="s">
        <v>13</v>
      </c>
      <c r="AK1" s="201"/>
      <c r="AL1" s="201"/>
    </row>
    <row r="2" spans="2:42" ht="15.5" x14ac:dyDescent="0.35">
      <c r="B2" s="134" t="s">
        <v>19</v>
      </c>
      <c r="C2" s="134" t="s">
        <v>22</v>
      </c>
      <c r="D2" s="134" t="s">
        <v>23</v>
      </c>
      <c r="E2" s="135" t="s">
        <v>24</v>
      </c>
      <c r="F2" s="134" t="s">
        <v>22</v>
      </c>
      <c r="G2" s="134" t="s">
        <v>58</v>
      </c>
      <c r="H2" s="135" t="s">
        <v>24</v>
      </c>
      <c r="I2" s="134" t="s">
        <v>22</v>
      </c>
      <c r="J2" s="134" t="s">
        <v>59</v>
      </c>
      <c r="K2" s="135" t="s">
        <v>24</v>
      </c>
      <c r="L2" s="134" t="s">
        <v>22</v>
      </c>
      <c r="M2" s="134" t="s">
        <v>60</v>
      </c>
      <c r="N2" s="135" t="s">
        <v>24</v>
      </c>
      <c r="O2" s="134" t="s">
        <v>22</v>
      </c>
      <c r="P2" s="134" t="s">
        <v>61</v>
      </c>
      <c r="Q2" s="135" t="s">
        <v>24</v>
      </c>
      <c r="R2" s="134" t="s">
        <v>22</v>
      </c>
      <c r="S2" s="134" t="s">
        <v>62</v>
      </c>
      <c r="T2" s="135" t="s">
        <v>24</v>
      </c>
      <c r="U2" s="134" t="s">
        <v>22</v>
      </c>
      <c r="V2" s="134" t="s">
        <v>63</v>
      </c>
      <c r="W2" s="135" t="s">
        <v>24</v>
      </c>
      <c r="X2" s="134" t="s">
        <v>22</v>
      </c>
      <c r="Y2" s="134" t="s">
        <v>64</v>
      </c>
      <c r="Z2" s="135" t="s">
        <v>24</v>
      </c>
      <c r="AA2" s="134" t="s">
        <v>22</v>
      </c>
      <c r="AB2" s="134" t="s">
        <v>65</v>
      </c>
      <c r="AC2" s="135" t="s">
        <v>24</v>
      </c>
      <c r="AD2" s="134" t="s">
        <v>22</v>
      </c>
      <c r="AE2" s="134" t="s">
        <v>66</v>
      </c>
      <c r="AF2" s="135" t="s">
        <v>24</v>
      </c>
      <c r="AG2" s="134" t="s">
        <v>22</v>
      </c>
      <c r="AH2" s="134" t="s">
        <v>67</v>
      </c>
      <c r="AI2" s="135" t="s">
        <v>24</v>
      </c>
      <c r="AJ2" s="134" t="s">
        <v>22</v>
      </c>
      <c r="AK2" s="134" t="s">
        <v>68</v>
      </c>
      <c r="AL2" s="135" t="s">
        <v>24</v>
      </c>
      <c r="AN2" s="136" t="str" cm="1">
        <f t="array" ref="AN2:AP29">_xlfn.IFS('Daily Sales Performance'!P3="January",C2:E25,'Daily Sales Performance'!P3="February",F2:H26,'Daily Sales Performance'!P3="March",I2:K26,'Daily Sales Performance'!P3="April",L2:N26,'Daily Sales Performance'!P3="May",O2:Q26,'Daily Sales Performance'!P3="June",R2:T25,'Daily Sales Performance'!P3="July",U2:W29,'Daily Sales Performance'!P3="August",X2:Z28,'Daily Sales Performance'!P3="September",AA2:AC27,'Daily Sales Performance'!P3="October",AD2:AF29,'Daily Sales Performance'!P3="November",AG2:AI29,'Daily Sales Performance'!P3="December",AJ2:AL29)</f>
        <v>Target</v>
      </c>
      <c r="AO2" s="133" t="str">
        <v>Acc Dec</v>
      </c>
      <c r="AP2" s="133" t="str">
        <v>Sales</v>
      </c>
    </row>
    <row r="3" spans="2:42" x14ac:dyDescent="0.35">
      <c r="B3" s="137">
        <v>1</v>
      </c>
      <c r="C3" s="137">
        <f>Apendix!$C$8</f>
        <v>5840.8360960000009</v>
      </c>
      <c r="D3" s="137">
        <f>E3</f>
        <v>143.626283</v>
      </c>
      <c r="E3" s="138">
        <v>143.626283</v>
      </c>
      <c r="F3" s="138">
        <f>Apendix!$D$8</f>
        <v>6384.403217000001</v>
      </c>
      <c r="G3" s="137">
        <f>H3</f>
        <v>37.893219999999999</v>
      </c>
      <c r="H3" s="138">
        <v>37.893219999999999</v>
      </c>
      <c r="I3" s="138">
        <f>Apendix!$E$8</f>
        <v>6581.2263720000001</v>
      </c>
      <c r="J3" s="137">
        <f>K3</f>
        <v>11.721551</v>
      </c>
      <c r="K3" s="138">
        <v>11.721551</v>
      </c>
      <c r="L3" s="138">
        <f>Apendix!$F$8</f>
        <v>6839.8031820000006</v>
      </c>
      <c r="M3" s="137">
        <f>N3</f>
        <v>42.305</v>
      </c>
      <c r="N3" s="138">
        <v>42.305</v>
      </c>
      <c r="O3" s="138">
        <f>Apendix!$G$8</f>
        <v>6597.9354540000004</v>
      </c>
      <c r="P3" s="137">
        <f>Q3</f>
        <v>227.877408</v>
      </c>
      <c r="Q3" s="138">
        <v>227.877408</v>
      </c>
      <c r="R3" s="138">
        <f>Apendix!$H$8</f>
        <v>6706.5427010000003</v>
      </c>
      <c r="S3" s="137">
        <f>T3</f>
        <v>149.94489200000001</v>
      </c>
      <c r="T3" s="138">
        <v>149.94489200000001</v>
      </c>
      <c r="U3" s="138">
        <f>Apendix!$I$8</f>
        <v>7295.3604329999998</v>
      </c>
      <c r="V3" s="137">
        <f>W3</f>
        <v>192.27523299999999</v>
      </c>
      <c r="W3" s="138">
        <v>192.27523299999999</v>
      </c>
      <c r="X3" s="138">
        <f>Apendix!$J$8</f>
        <v>7569.0930229999994</v>
      </c>
      <c r="Y3" s="137">
        <f>Z3</f>
        <v>186.58336399999999</v>
      </c>
      <c r="Z3" s="138">
        <v>186.58336399999999</v>
      </c>
      <c r="AA3" s="138">
        <f>Apendix!$K$8</f>
        <v>7763.1358289999998</v>
      </c>
      <c r="AB3" s="137">
        <f>AC3</f>
        <v>123.455568</v>
      </c>
      <c r="AC3" s="138">
        <v>123.455568</v>
      </c>
      <c r="AD3" s="138">
        <f>Apendix!$L$8</f>
        <v>8374.952612000001</v>
      </c>
      <c r="AE3" s="137">
        <f>AF3</f>
        <v>82.081627999999995</v>
      </c>
      <c r="AF3" s="138">
        <v>82.081627999999995</v>
      </c>
      <c r="AG3" s="138">
        <f>Apendix!$M$8</f>
        <v>8441.1287429999993</v>
      </c>
      <c r="AH3" s="137">
        <f>AI3</f>
        <v>30.522500000000001</v>
      </c>
      <c r="AI3" s="138">
        <f>Apendix!M14</f>
        <v>30.522500000000001</v>
      </c>
      <c r="AJ3" s="138">
        <f>Apendix!$N$8</f>
        <v>6605.5799399999996</v>
      </c>
      <c r="AK3" s="137">
        <f>AL3</f>
        <v>98.646726000000001</v>
      </c>
      <c r="AL3" s="138">
        <v>98.646726000000001</v>
      </c>
      <c r="AN3" s="138">
        <v>6605.5799399999996</v>
      </c>
      <c r="AO3" s="138">
        <v>98.646726000000001</v>
      </c>
      <c r="AP3" s="138">
        <v>98.646726000000001</v>
      </c>
    </row>
    <row r="4" spans="2:42" x14ac:dyDescent="0.35">
      <c r="B4" s="137">
        <v>2</v>
      </c>
      <c r="C4" s="137">
        <f>Apendix!$C$8</f>
        <v>5840.8360960000009</v>
      </c>
      <c r="D4" s="137">
        <f>D3+E4</f>
        <v>312.99737300000004</v>
      </c>
      <c r="E4" s="138">
        <v>169.37109000000001</v>
      </c>
      <c r="F4" s="138">
        <f>Apendix!$D$8</f>
        <v>6384.403217000001</v>
      </c>
      <c r="G4" s="137">
        <f>G3+H4</f>
        <v>500.77146599999998</v>
      </c>
      <c r="H4" s="138">
        <v>462.87824599999999</v>
      </c>
      <c r="I4" s="138">
        <f>Apendix!$E$8</f>
        <v>6581.2263720000001</v>
      </c>
      <c r="J4" s="137">
        <f>J3+K4</f>
        <v>177.01129600000002</v>
      </c>
      <c r="K4" s="138">
        <v>165.28974500000001</v>
      </c>
      <c r="L4" s="138">
        <f>Apendix!$F$8</f>
        <v>6839.8031820000006</v>
      </c>
      <c r="M4" s="137">
        <f>M3+N4</f>
        <v>113.122693</v>
      </c>
      <c r="N4" s="138">
        <v>70.817693000000006</v>
      </c>
      <c r="O4" s="138">
        <f>Apendix!$G$8</f>
        <v>6597.9354540000004</v>
      </c>
      <c r="P4" s="137">
        <f>P3+Q4</f>
        <v>331.79098299999998</v>
      </c>
      <c r="Q4" s="138">
        <v>103.91357499999999</v>
      </c>
      <c r="R4" s="138">
        <f>Apendix!$H$8</f>
        <v>6706.5427010000003</v>
      </c>
      <c r="S4" s="137">
        <f>S3+T4</f>
        <v>223.43177400000002</v>
      </c>
      <c r="T4" s="138">
        <v>73.486881999999994</v>
      </c>
      <c r="U4" s="138">
        <f>Apendix!$I$8</f>
        <v>7295.3604329999998</v>
      </c>
      <c r="V4" s="137">
        <f>V3+W4</f>
        <v>305.500561</v>
      </c>
      <c r="W4" s="138">
        <v>113.225328</v>
      </c>
      <c r="X4" s="138">
        <f>Apendix!$J$8</f>
        <v>7569.0930229999994</v>
      </c>
      <c r="Y4" s="137">
        <f>Y3+Z4</f>
        <v>414.15360799999996</v>
      </c>
      <c r="Z4" s="138">
        <v>227.570244</v>
      </c>
      <c r="AA4" s="138">
        <f>Apendix!$K$8</f>
        <v>7763.1358289999998</v>
      </c>
      <c r="AB4" s="137">
        <f>AB3+AC4</f>
        <v>262.62510499999996</v>
      </c>
      <c r="AC4" s="138">
        <v>139.16953699999999</v>
      </c>
      <c r="AD4" s="138">
        <f>Apendix!$L$8</f>
        <v>8374.952612000001</v>
      </c>
      <c r="AE4" s="137">
        <f>AE3+AF4</f>
        <v>163.04260499999998</v>
      </c>
      <c r="AF4" s="138">
        <v>80.960977</v>
      </c>
      <c r="AG4" s="138">
        <f>Apendix!$M$8</f>
        <v>8441.1287429999993</v>
      </c>
      <c r="AH4" s="137">
        <f>AH3+AI4</f>
        <v>906.22357299999999</v>
      </c>
      <c r="AI4" s="138">
        <f>Apendix!M15</f>
        <v>875.70107299999995</v>
      </c>
      <c r="AJ4" s="138">
        <f>Apendix!$N$8</f>
        <v>6605.5799399999996</v>
      </c>
      <c r="AK4" s="138">
        <f>AK3+AL4</f>
        <v>363.643056</v>
      </c>
      <c r="AL4" s="138">
        <v>264.99633</v>
      </c>
      <c r="AN4" s="138">
        <v>6605.5799399999996</v>
      </c>
      <c r="AO4" s="138">
        <v>363.643056</v>
      </c>
      <c r="AP4" s="138">
        <v>264.99633</v>
      </c>
    </row>
    <row r="5" spans="2:42" x14ac:dyDescent="0.35">
      <c r="B5" s="137">
        <v>3</v>
      </c>
      <c r="C5" s="137">
        <f>Apendix!$C$8</f>
        <v>5840.8360960000009</v>
      </c>
      <c r="D5" s="137">
        <f t="shared" ref="D5:D25" si="0">D4+E5</f>
        <v>388.33341500000006</v>
      </c>
      <c r="E5" s="138">
        <v>75.336042000000006</v>
      </c>
      <c r="F5" s="138">
        <f>Apendix!$D$8</f>
        <v>6384.403217000001</v>
      </c>
      <c r="G5" s="137">
        <f t="shared" ref="G5:G26" si="1">G4+H5</f>
        <v>665.52891499999998</v>
      </c>
      <c r="H5" s="138">
        <v>164.75744900000001</v>
      </c>
      <c r="I5" s="138">
        <f>Apendix!$E$8</f>
        <v>6581.2263720000001</v>
      </c>
      <c r="J5" s="137">
        <f t="shared" ref="J5:J26" si="2">J4+K5</f>
        <v>390.14463699999999</v>
      </c>
      <c r="K5" s="138">
        <v>213.133341</v>
      </c>
      <c r="L5" s="138">
        <f>Apendix!$F$8</f>
        <v>6839.8031820000006</v>
      </c>
      <c r="M5" s="137">
        <f t="shared" ref="M5:M26" si="3">M4+N5</f>
        <v>211.10807799999998</v>
      </c>
      <c r="N5" s="138">
        <v>97.985384999999994</v>
      </c>
      <c r="O5" s="138">
        <f>Apendix!$G$8</f>
        <v>6597.9354540000004</v>
      </c>
      <c r="P5" s="137">
        <f t="shared" ref="P5:P26" si="4">P4+Q5</f>
        <v>479.44194099999999</v>
      </c>
      <c r="Q5" s="138">
        <v>147.650958</v>
      </c>
      <c r="R5" s="138">
        <f>Apendix!$H$8</f>
        <v>6706.5427010000003</v>
      </c>
      <c r="S5" s="137">
        <f t="shared" ref="S5:S25" si="5">S4+T5</f>
        <v>359.23919799999999</v>
      </c>
      <c r="T5" s="138">
        <v>135.807424</v>
      </c>
      <c r="U5" s="138">
        <f>Apendix!$I$8</f>
        <v>7295.3604329999998</v>
      </c>
      <c r="V5" s="137">
        <f t="shared" ref="V5:V29" si="6">V4+W5</f>
        <v>438.53569500000003</v>
      </c>
      <c r="W5" s="138">
        <v>133.035134</v>
      </c>
      <c r="X5" s="138">
        <f>Apendix!$J$8</f>
        <v>7569.0930229999994</v>
      </c>
      <c r="Y5" s="137">
        <f t="shared" ref="Y5:Y28" si="7">Y4+Z5</f>
        <v>580.07644499999992</v>
      </c>
      <c r="Z5" s="138">
        <v>165.92283699999999</v>
      </c>
      <c r="AA5" s="138">
        <f>Apendix!$K$8</f>
        <v>7763.1358289999998</v>
      </c>
      <c r="AB5" s="137">
        <f t="shared" ref="AB5:AB27" si="8">AB4+AC5</f>
        <v>579.90207199999998</v>
      </c>
      <c r="AC5" s="138">
        <v>317.27696700000001</v>
      </c>
      <c r="AD5" s="138">
        <f>Apendix!$L$8</f>
        <v>8374.952612000001</v>
      </c>
      <c r="AE5" s="137">
        <f t="shared" ref="AE5:AE29" si="9">AE4+AF5</f>
        <v>297.09323999999998</v>
      </c>
      <c r="AF5" s="138">
        <v>134.050635</v>
      </c>
      <c r="AG5" s="138">
        <f>Apendix!$M$8</f>
        <v>8441.1287429999993</v>
      </c>
      <c r="AH5" s="137">
        <f>AH4+AI5</f>
        <v>1159.3011879999999</v>
      </c>
      <c r="AI5" s="138">
        <f>Apendix!M16</f>
        <v>253.07761500000001</v>
      </c>
      <c r="AJ5" s="138">
        <f>Apendix!$N$8</f>
        <v>6605.5799399999996</v>
      </c>
      <c r="AK5" s="138">
        <f t="shared" ref="AK5:AK27" si="10">AK4+AL5</f>
        <v>470.45162099999999</v>
      </c>
      <c r="AL5" s="138">
        <v>106.808565</v>
      </c>
      <c r="AN5" s="138">
        <v>6605.5799399999996</v>
      </c>
      <c r="AO5" s="138">
        <v>470.45162099999999</v>
      </c>
      <c r="AP5" s="138">
        <v>106.808565</v>
      </c>
    </row>
    <row r="6" spans="2:42" x14ac:dyDescent="0.35">
      <c r="B6" s="137">
        <v>4</v>
      </c>
      <c r="C6" s="137">
        <f>Apendix!$C$8</f>
        <v>5840.8360960000009</v>
      </c>
      <c r="D6" s="137">
        <f t="shared" si="0"/>
        <v>618.04269600000009</v>
      </c>
      <c r="E6" s="138">
        <v>229.709281</v>
      </c>
      <c r="F6" s="138">
        <f>Apendix!$D$8</f>
        <v>6384.403217000001</v>
      </c>
      <c r="G6" s="137">
        <f t="shared" si="1"/>
        <v>790.961816</v>
      </c>
      <c r="H6" s="138">
        <v>125.432901</v>
      </c>
      <c r="I6" s="138">
        <f>Apendix!$E$8</f>
        <v>6581.2263720000001</v>
      </c>
      <c r="J6" s="137">
        <f t="shared" si="2"/>
        <v>593.29325900000003</v>
      </c>
      <c r="K6" s="138">
        <v>203.14862199999999</v>
      </c>
      <c r="L6" s="138">
        <f>Apendix!$F$8</f>
        <v>6839.8031820000006</v>
      </c>
      <c r="M6" s="137">
        <f t="shared" si="3"/>
        <v>255.15029199999998</v>
      </c>
      <c r="N6" s="138">
        <v>44.042214000000001</v>
      </c>
      <c r="O6" s="138">
        <f>Apendix!$G$8</f>
        <v>6597.9354540000004</v>
      </c>
      <c r="P6" s="137">
        <f t="shared" si="4"/>
        <v>610.08175699999993</v>
      </c>
      <c r="Q6" s="138">
        <v>130.639816</v>
      </c>
      <c r="R6" s="138">
        <f>Apendix!$H$8</f>
        <v>6706.5427010000003</v>
      </c>
      <c r="S6" s="137">
        <f t="shared" si="5"/>
        <v>536.15820599999995</v>
      </c>
      <c r="T6" s="138">
        <v>176.91900799999999</v>
      </c>
      <c r="U6" s="138">
        <f>Apendix!$I$8</f>
        <v>7295.3604329999998</v>
      </c>
      <c r="V6" s="137">
        <f t="shared" si="6"/>
        <v>596.57669499999997</v>
      </c>
      <c r="W6" s="138">
        <v>158.041</v>
      </c>
      <c r="X6" s="138">
        <f>Apendix!$J$8</f>
        <v>7569.0930229999994</v>
      </c>
      <c r="Y6" s="137">
        <f t="shared" si="7"/>
        <v>757.98599899999999</v>
      </c>
      <c r="Z6" s="138">
        <v>177.90955400000001</v>
      </c>
      <c r="AA6" s="138">
        <f>Apendix!$K$8</f>
        <v>7763.1358289999998</v>
      </c>
      <c r="AB6" s="137">
        <f t="shared" si="8"/>
        <v>695.22668399999998</v>
      </c>
      <c r="AC6" s="138">
        <v>115.324612</v>
      </c>
      <c r="AD6" s="138">
        <f>Apendix!$L$8</f>
        <v>8374.952612000001</v>
      </c>
      <c r="AE6" s="137">
        <f t="shared" si="9"/>
        <v>478.29431599999998</v>
      </c>
      <c r="AF6" s="138">
        <v>181.201076</v>
      </c>
      <c r="AG6" s="138">
        <f>Apendix!$M$8</f>
        <v>8441.1287429999993</v>
      </c>
      <c r="AH6" s="137">
        <f>AH5+AI6</f>
        <v>1229.322369</v>
      </c>
      <c r="AI6" s="138">
        <f>Apendix!M17</f>
        <v>70.021180999999999</v>
      </c>
      <c r="AJ6" s="138">
        <f>Apendix!$N$8</f>
        <v>6605.5799399999996</v>
      </c>
      <c r="AK6" s="138">
        <f t="shared" si="10"/>
        <v>556.70725900000002</v>
      </c>
      <c r="AL6" s="138">
        <v>86.255638000000005</v>
      </c>
      <c r="AN6" s="138">
        <v>6605.5799399999996</v>
      </c>
      <c r="AO6" s="138">
        <v>556.70725900000002</v>
      </c>
      <c r="AP6" s="138">
        <v>86.255638000000005</v>
      </c>
    </row>
    <row r="7" spans="2:42" x14ac:dyDescent="0.35">
      <c r="B7" s="137">
        <v>5</v>
      </c>
      <c r="C7" s="137">
        <f>Apendix!$C$8</f>
        <v>5840.8360960000009</v>
      </c>
      <c r="D7" s="137">
        <f t="shared" si="0"/>
        <v>1112.583472</v>
      </c>
      <c r="E7" s="138">
        <v>494.54077599999999</v>
      </c>
      <c r="F7" s="138">
        <f>Apendix!$D$8</f>
        <v>6384.403217000001</v>
      </c>
      <c r="G7" s="137">
        <f t="shared" si="1"/>
        <v>923.15191500000003</v>
      </c>
      <c r="H7" s="138">
        <v>132.190099</v>
      </c>
      <c r="I7" s="138">
        <f>Apendix!$E$8</f>
        <v>6581.2263720000001</v>
      </c>
      <c r="J7" s="137">
        <f t="shared" si="2"/>
        <v>878.85964400000012</v>
      </c>
      <c r="K7" s="138">
        <v>285.56638500000003</v>
      </c>
      <c r="L7" s="138">
        <f>Apendix!$F$8</f>
        <v>6839.8031820000006</v>
      </c>
      <c r="M7" s="137">
        <f t="shared" si="3"/>
        <v>324.00768899999997</v>
      </c>
      <c r="N7" s="138">
        <v>68.857397000000006</v>
      </c>
      <c r="O7" s="138">
        <f>Apendix!$G$8</f>
        <v>6597.9354540000004</v>
      </c>
      <c r="P7" s="137">
        <f t="shared" si="4"/>
        <v>715.37730799999997</v>
      </c>
      <c r="Q7" s="138">
        <v>105.295551</v>
      </c>
      <c r="R7" s="138">
        <f>Apendix!$H$8</f>
        <v>6706.5427010000003</v>
      </c>
      <c r="S7" s="137">
        <f t="shared" si="5"/>
        <v>619.78411199999994</v>
      </c>
      <c r="T7" s="138">
        <v>83.625906000000001</v>
      </c>
      <c r="U7" s="138">
        <f>Apendix!$I$8</f>
        <v>7295.3604329999998</v>
      </c>
      <c r="V7" s="137">
        <f t="shared" si="6"/>
        <v>658.46238900000003</v>
      </c>
      <c r="W7" s="138">
        <v>61.885694000000001</v>
      </c>
      <c r="X7" s="138">
        <f>Apendix!$J$8</f>
        <v>7569.0930229999994</v>
      </c>
      <c r="Y7" s="137">
        <f t="shared" si="7"/>
        <v>983.63406899999995</v>
      </c>
      <c r="Z7" s="138">
        <v>225.64806999999999</v>
      </c>
      <c r="AA7" s="138">
        <f>Apendix!$K$8</f>
        <v>7763.1358289999998</v>
      </c>
      <c r="AB7" s="137">
        <f t="shared" si="8"/>
        <v>740.425251</v>
      </c>
      <c r="AC7" s="138">
        <v>45.198566999999997</v>
      </c>
      <c r="AD7" s="138">
        <f>Apendix!$L$8</f>
        <v>8374.952612000001</v>
      </c>
      <c r="AE7" s="137">
        <f t="shared" si="9"/>
        <v>608.67988200000002</v>
      </c>
      <c r="AF7" s="138">
        <v>130.38556600000001</v>
      </c>
      <c r="AG7" s="138">
        <f>Apendix!$M$8</f>
        <v>8441.1287429999993</v>
      </c>
      <c r="AH7" s="137">
        <f>AH6+AI7</f>
        <v>1739.9614160000001</v>
      </c>
      <c r="AI7" s="138">
        <f>Apendix!M18</f>
        <v>510.63904700000001</v>
      </c>
      <c r="AJ7" s="138">
        <f>Apendix!$N$8</f>
        <v>6605.5799399999996</v>
      </c>
      <c r="AK7" s="138">
        <f t="shared" si="10"/>
        <v>728.64982711000005</v>
      </c>
      <c r="AL7" s="138">
        <v>171.94256811</v>
      </c>
      <c r="AN7" s="138">
        <v>6605.5799399999996</v>
      </c>
      <c r="AO7" s="138">
        <v>728.64982711000005</v>
      </c>
      <c r="AP7" s="138">
        <v>171.94256811</v>
      </c>
    </row>
    <row r="8" spans="2:42" x14ac:dyDescent="0.35">
      <c r="B8" s="137">
        <v>6</v>
      </c>
      <c r="C8" s="137">
        <f>Apendix!$C$8</f>
        <v>5840.8360960000009</v>
      </c>
      <c r="D8" s="137">
        <f t="shared" si="0"/>
        <v>1440.689149</v>
      </c>
      <c r="E8" s="138">
        <v>328.10567700000001</v>
      </c>
      <c r="F8" s="138">
        <f>Apendix!$D$8</f>
        <v>6384.403217000001</v>
      </c>
      <c r="G8" s="137">
        <f t="shared" si="1"/>
        <v>994.33437700000002</v>
      </c>
      <c r="H8" s="138">
        <v>71.182462000000001</v>
      </c>
      <c r="I8" s="138">
        <f>Apendix!$E$8</f>
        <v>6581.2263720000001</v>
      </c>
      <c r="J8" s="137">
        <f t="shared" si="2"/>
        <v>979.30053600000008</v>
      </c>
      <c r="K8" s="138">
        <v>100.44089200000001</v>
      </c>
      <c r="L8" s="138">
        <f>Apendix!$F$8</f>
        <v>6839.8031820000006</v>
      </c>
      <c r="M8" s="137">
        <f t="shared" si="3"/>
        <v>461.95281</v>
      </c>
      <c r="N8" s="138">
        <v>137.945121</v>
      </c>
      <c r="O8" s="138">
        <f>Apendix!$G$8</f>
        <v>6597.9354540000004</v>
      </c>
      <c r="P8" s="137">
        <f t="shared" si="4"/>
        <v>1435.8473779999999</v>
      </c>
      <c r="Q8" s="138">
        <v>720.47006999999996</v>
      </c>
      <c r="R8" s="138">
        <f>Apendix!$H$8</f>
        <v>6706.5427010000003</v>
      </c>
      <c r="S8" s="137">
        <f t="shared" si="5"/>
        <v>871.40061299999991</v>
      </c>
      <c r="T8" s="138">
        <v>251.616501</v>
      </c>
      <c r="U8" s="138">
        <f>Apendix!$I$8</f>
        <v>7295.3604329999998</v>
      </c>
      <c r="V8" s="137">
        <f t="shared" si="6"/>
        <v>801.69559100000004</v>
      </c>
      <c r="W8" s="138">
        <v>143.23320200000001</v>
      </c>
      <c r="X8" s="138">
        <f>Apendix!$J$8</f>
        <v>7569.0930229999994</v>
      </c>
      <c r="Y8" s="137">
        <f t="shared" si="7"/>
        <v>1082.2128909999999</v>
      </c>
      <c r="Z8" s="138">
        <v>98.578822000000002</v>
      </c>
      <c r="AA8" s="138">
        <f>Apendix!$K$8</f>
        <v>7763.1358289999998</v>
      </c>
      <c r="AB8" s="137">
        <f t="shared" si="8"/>
        <v>1033.664078</v>
      </c>
      <c r="AC8" s="138">
        <v>293.23882700000001</v>
      </c>
      <c r="AD8" s="138">
        <f>Apendix!$L$8</f>
        <v>8374.952612000001</v>
      </c>
      <c r="AE8" s="137">
        <f t="shared" si="9"/>
        <v>702.60556700000006</v>
      </c>
      <c r="AF8" s="138">
        <v>93.925685000000001</v>
      </c>
      <c r="AG8" s="138">
        <f>Apendix!$M$8</f>
        <v>8441.1287429999993</v>
      </c>
      <c r="AH8" s="137">
        <f>AH7+AI8</f>
        <v>2143.5806630000002</v>
      </c>
      <c r="AI8" s="138">
        <f>Apendix!M19</f>
        <v>403.61924699999997</v>
      </c>
      <c r="AJ8" s="138">
        <f>Apendix!$N$8</f>
        <v>6605.5799399999996</v>
      </c>
      <c r="AK8" s="138">
        <f t="shared" si="10"/>
        <v>853.73435911000001</v>
      </c>
      <c r="AL8" s="138">
        <v>125.084532</v>
      </c>
      <c r="AN8" s="138">
        <v>6605.5799399999996</v>
      </c>
      <c r="AO8" s="138">
        <v>853.73435911000001</v>
      </c>
      <c r="AP8" s="138">
        <v>125.084532</v>
      </c>
    </row>
    <row r="9" spans="2:42" x14ac:dyDescent="0.35">
      <c r="B9" s="137">
        <v>7</v>
      </c>
      <c r="C9" s="137">
        <f>Apendix!$C$8</f>
        <v>5840.8360960000009</v>
      </c>
      <c r="D9" s="137">
        <f t="shared" si="0"/>
        <v>1508.9709769999999</v>
      </c>
      <c r="E9" s="138">
        <v>68.281828000000004</v>
      </c>
      <c r="F9" s="138">
        <f>Apendix!$D$8</f>
        <v>6384.403217000001</v>
      </c>
      <c r="G9" s="137">
        <f t="shared" si="1"/>
        <v>1068.4129889999999</v>
      </c>
      <c r="H9" s="138">
        <v>74.078612000000007</v>
      </c>
      <c r="I9" s="138">
        <f>Apendix!$E$8</f>
        <v>6581.2263720000001</v>
      </c>
      <c r="J9" s="137">
        <f t="shared" si="2"/>
        <v>1212.7739650000001</v>
      </c>
      <c r="K9" s="138">
        <v>233.47342900000001</v>
      </c>
      <c r="L9" s="138">
        <f>Apendix!$F$8</f>
        <v>6839.8031820000006</v>
      </c>
      <c r="M9" s="137">
        <f t="shared" si="3"/>
        <v>573.04712900000004</v>
      </c>
      <c r="N9" s="138">
        <v>111.094319</v>
      </c>
      <c r="O9" s="138">
        <f>Apendix!$G$8</f>
        <v>6597.9354540000004</v>
      </c>
      <c r="P9" s="137">
        <f t="shared" si="4"/>
        <v>1729.5037749999999</v>
      </c>
      <c r="Q9" s="138">
        <v>293.65639700000003</v>
      </c>
      <c r="R9" s="138">
        <f>Apendix!$H$8</f>
        <v>6706.5427010000003</v>
      </c>
      <c r="S9" s="137">
        <f t="shared" si="5"/>
        <v>1083.7230179999999</v>
      </c>
      <c r="T9" s="138">
        <v>212.322405</v>
      </c>
      <c r="U9" s="138">
        <f>Apendix!$I$8</f>
        <v>7295.3604329999998</v>
      </c>
      <c r="V9" s="137">
        <f t="shared" si="6"/>
        <v>969.89752500000009</v>
      </c>
      <c r="W9" s="138">
        <v>168.20193399999999</v>
      </c>
      <c r="X9" s="138">
        <f>Apendix!$J$8</f>
        <v>7569.0930229999994</v>
      </c>
      <c r="Y9" s="137">
        <f t="shared" si="7"/>
        <v>1295.7269289999999</v>
      </c>
      <c r="Z9" s="138">
        <v>213.514038</v>
      </c>
      <c r="AA9" s="138">
        <f>Apendix!$K$8</f>
        <v>7763.1358289999998</v>
      </c>
      <c r="AB9" s="137">
        <f t="shared" si="8"/>
        <v>1241.9096400000001</v>
      </c>
      <c r="AC9" s="138">
        <v>208.24556200000001</v>
      </c>
      <c r="AD9" s="138">
        <f>Apendix!$L$8</f>
        <v>8374.952612000001</v>
      </c>
      <c r="AE9" s="137">
        <f t="shared" si="9"/>
        <v>798.3922980000001</v>
      </c>
      <c r="AF9" s="138">
        <v>95.786731000000003</v>
      </c>
      <c r="AG9" s="138">
        <f>Apendix!$M$8</f>
        <v>8441.1287429999993</v>
      </c>
      <c r="AH9" s="137">
        <f t="shared" ref="AH9:AH28" si="11">AH8+AI9</f>
        <v>2172.6079720000002</v>
      </c>
      <c r="AI9" s="138">
        <f>Apendix!M20</f>
        <v>29.027308999999999</v>
      </c>
      <c r="AJ9" s="138">
        <f>Apendix!$N$8</f>
        <v>6605.5799399999996</v>
      </c>
      <c r="AK9" s="138">
        <f t="shared" si="10"/>
        <v>1231.2333311100001</v>
      </c>
      <c r="AL9" s="138">
        <v>377.49897199999998</v>
      </c>
      <c r="AN9" s="138">
        <v>6605.5799399999996</v>
      </c>
      <c r="AO9" s="138">
        <v>1231.2333311100001</v>
      </c>
      <c r="AP9" s="138">
        <v>377.49897199999998</v>
      </c>
    </row>
    <row r="10" spans="2:42" x14ac:dyDescent="0.35">
      <c r="B10" s="137">
        <v>8</v>
      </c>
      <c r="C10" s="137">
        <f>Apendix!$C$8</f>
        <v>5840.8360960000009</v>
      </c>
      <c r="D10" s="137">
        <f t="shared" si="0"/>
        <v>1631.441628</v>
      </c>
      <c r="E10" s="138">
        <v>122.470651</v>
      </c>
      <c r="F10" s="138">
        <f>Apendix!$D$8</f>
        <v>6384.403217000001</v>
      </c>
      <c r="G10" s="137">
        <f t="shared" si="1"/>
        <v>1286.8220429999999</v>
      </c>
      <c r="H10" s="138">
        <v>218.409054</v>
      </c>
      <c r="I10" s="138">
        <f>Apendix!$E$8</f>
        <v>6581.2263720000001</v>
      </c>
      <c r="J10" s="137">
        <f t="shared" si="2"/>
        <v>1386.7406740000001</v>
      </c>
      <c r="K10" s="138">
        <v>173.96670900000001</v>
      </c>
      <c r="L10" s="138">
        <f>Apendix!$F$8</f>
        <v>6839.8031820000006</v>
      </c>
      <c r="M10" s="137">
        <f t="shared" si="3"/>
        <v>834.87566200000003</v>
      </c>
      <c r="N10" s="138">
        <v>261.82853299999999</v>
      </c>
      <c r="O10" s="138">
        <f>Apendix!$G$8</f>
        <v>6597.9354540000004</v>
      </c>
      <c r="P10" s="137">
        <f t="shared" si="4"/>
        <v>1749.9781659999999</v>
      </c>
      <c r="Q10" s="138">
        <v>20.474391000000001</v>
      </c>
      <c r="R10" s="138">
        <f>Apendix!$H$8</f>
        <v>6706.5427010000003</v>
      </c>
      <c r="S10" s="137">
        <f t="shared" si="5"/>
        <v>1318.2378489999999</v>
      </c>
      <c r="T10" s="138">
        <v>234.51483099999999</v>
      </c>
      <c r="U10" s="138">
        <f>Apendix!$I$8</f>
        <v>7295.3604329999998</v>
      </c>
      <c r="V10" s="137">
        <f t="shared" si="6"/>
        <v>1194.62013</v>
      </c>
      <c r="W10" s="138">
        <v>224.72260499999999</v>
      </c>
      <c r="X10" s="138">
        <f>Apendix!$J$8</f>
        <v>7569.0930229999994</v>
      </c>
      <c r="Y10" s="137">
        <f t="shared" si="7"/>
        <v>1313.8422249999999</v>
      </c>
      <c r="Z10" s="138">
        <v>18.115296000000001</v>
      </c>
      <c r="AA10" s="138">
        <f>Apendix!$K$8</f>
        <v>7763.1358289999998</v>
      </c>
      <c r="AB10" s="137">
        <f t="shared" si="8"/>
        <v>1378.440611</v>
      </c>
      <c r="AC10" s="138">
        <v>136.53097099999999</v>
      </c>
      <c r="AD10" s="138">
        <f>Apendix!$L$8</f>
        <v>8374.952612000001</v>
      </c>
      <c r="AE10" s="137">
        <f t="shared" si="9"/>
        <v>939.86180800000011</v>
      </c>
      <c r="AF10" s="138">
        <v>141.46951000000001</v>
      </c>
      <c r="AG10" s="138">
        <f>Apendix!$M$8</f>
        <v>8441.1287429999993</v>
      </c>
      <c r="AH10" s="137">
        <f t="shared" si="11"/>
        <v>2497.3267290000003</v>
      </c>
      <c r="AI10" s="138">
        <f>Apendix!M21</f>
        <v>324.71875699999998</v>
      </c>
      <c r="AJ10" s="138">
        <f>Apendix!$N$8</f>
        <v>6605.5799399999996</v>
      </c>
      <c r="AK10" s="138">
        <f t="shared" si="10"/>
        <v>1372.33652611</v>
      </c>
      <c r="AL10" s="138">
        <v>141.103195</v>
      </c>
      <c r="AN10" s="138">
        <v>6605.5799399999996</v>
      </c>
      <c r="AO10" s="138">
        <v>1372.33652611</v>
      </c>
      <c r="AP10" s="138">
        <v>141.103195</v>
      </c>
    </row>
    <row r="11" spans="2:42" x14ac:dyDescent="0.35">
      <c r="B11" s="137">
        <v>9</v>
      </c>
      <c r="C11" s="137">
        <f>Apendix!$C$8</f>
        <v>5840.8360960000009</v>
      </c>
      <c r="D11" s="137">
        <f t="shared" si="0"/>
        <v>1850.9274789999999</v>
      </c>
      <c r="E11" s="138">
        <v>219.485851</v>
      </c>
      <c r="F11" s="138">
        <f>Apendix!$D$8</f>
        <v>6384.403217000001</v>
      </c>
      <c r="G11" s="137">
        <f t="shared" si="1"/>
        <v>1434.0015449999999</v>
      </c>
      <c r="H11" s="138">
        <v>147.17950200000001</v>
      </c>
      <c r="I11" s="138">
        <f>Apendix!$E$8</f>
        <v>6581.2263720000001</v>
      </c>
      <c r="J11" s="137">
        <f t="shared" si="2"/>
        <v>1460.3663530000001</v>
      </c>
      <c r="K11" s="138">
        <v>73.625679000000005</v>
      </c>
      <c r="L11" s="138">
        <f>Apendix!$F$8</f>
        <v>6839.8031820000006</v>
      </c>
      <c r="M11" s="137">
        <f t="shared" si="3"/>
        <v>1145.503794</v>
      </c>
      <c r="N11" s="138">
        <v>310.62813199999999</v>
      </c>
      <c r="O11" s="138">
        <f>Apendix!$G$8</f>
        <v>6597.9354540000004</v>
      </c>
      <c r="P11" s="137">
        <f t="shared" si="4"/>
        <v>1860.7125249999999</v>
      </c>
      <c r="Q11" s="138">
        <v>110.734359</v>
      </c>
      <c r="R11" s="138">
        <f>Apendix!$H$8</f>
        <v>6706.5427010000003</v>
      </c>
      <c r="S11" s="137">
        <f t="shared" si="5"/>
        <v>1486.6055569999999</v>
      </c>
      <c r="T11" s="138">
        <v>168.36770799999999</v>
      </c>
      <c r="U11" s="138">
        <f>Apendix!$I$8</f>
        <v>7295.3604329999998</v>
      </c>
      <c r="V11" s="137">
        <f t="shared" si="6"/>
        <v>1634.1961740000002</v>
      </c>
      <c r="W11" s="138">
        <v>439.57604400000002</v>
      </c>
      <c r="X11" s="138">
        <f>Apendix!$J$8</f>
        <v>7569.0930229999994</v>
      </c>
      <c r="Y11" s="137">
        <f t="shared" si="7"/>
        <v>1438.6768759999998</v>
      </c>
      <c r="Z11" s="138">
        <v>124.83465099999999</v>
      </c>
      <c r="AA11" s="138">
        <f>Apendix!$K$8</f>
        <v>7763.1358289999998</v>
      </c>
      <c r="AB11" s="137">
        <f t="shared" si="8"/>
        <v>1468.176782</v>
      </c>
      <c r="AC11" s="138">
        <v>89.736170999999999</v>
      </c>
      <c r="AD11" s="138">
        <f>Apendix!$L$8</f>
        <v>8374.952612000001</v>
      </c>
      <c r="AE11" s="137">
        <f t="shared" si="9"/>
        <v>1429.213782</v>
      </c>
      <c r="AF11" s="138">
        <v>489.35197399999998</v>
      </c>
      <c r="AG11" s="138">
        <f>Apendix!$M$8</f>
        <v>8441.1287429999993</v>
      </c>
      <c r="AH11" s="137">
        <f t="shared" si="11"/>
        <v>2659.2401400000003</v>
      </c>
      <c r="AI11" s="138">
        <f>Apendix!M22</f>
        <v>161.913411</v>
      </c>
      <c r="AJ11" s="138">
        <f>Apendix!$N$8</f>
        <v>6605.5799399999996</v>
      </c>
      <c r="AK11" s="138">
        <f t="shared" si="10"/>
        <v>1564.14794211</v>
      </c>
      <c r="AL11" s="138">
        <v>191.81141600000001</v>
      </c>
      <c r="AN11" s="138">
        <v>6605.5799399999996</v>
      </c>
      <c r="AO11" s="138">
        <v>1564.14794211</v>
      </c>
      <c r="AP11" s="138">
        <v>191.81141600000001</v>
      </c>
    </row>
    <row r="12" spans="2:42" x14ac:dyDescent="0.35">
      <c r="B12" s="137">
        <v>10</v>
      </c>
      <c r="C12" s="137">
        <f>Apendix!$C$8</f>
        <v>5840.8360960000009</v>
      </c>
      <c r="D12" s="137">
        <f t="shared" si="0"/>
        <v>2339.0555650000001</v>
      </c>
      <c r="E12" s="138">
        <v>488.128086</v>
      </c>
      <c r="F12" s="138">
        <f>Apendix!$D$8</f>
        <v>6384.403217000001</v>
      </c>
      <c r="G12" s="137">
        <f t="shared" si="1"/>
        <v>1733.5624489999998</v>
      </c>
      <c r="H12" s="138">
        <v>299.56090399999999</v>
      </c>
      <c r="I12" s="138">
        <f>Apendix!$E$8</f>
        <v>6581.2263720000001</v>
      </c>
      <c r="J12" s="137">
        <f t="shared" si="2"/>
        <v>1699.0257270000002</v>
      </c>
      <c r="K12" s="138">
        <v>238.65937400000001</v>
      </c>
      <c r="L12" s="138">
        <f>Apendix!$F$8</f>
        <v>6839.8031820000006</v>
      </c>
      <c r="M12" s="137">
        <f t="shared" si="3"/>
        <v>1392.4997089999999</v>
      </c>
      <c r="N12" s="138">
        <v>246.995915</v>
      </c>
      <c r="O12" s="138">
        <f>Apendix!$G$8</f>
        <v>6597.9354540000004</v>
      </c>
      <c r="P12" s="137">
        <f t="shared" si="4"/>
        <v>2223.8296769999997</v>
      </c>
      <c r="Q12" s="138">
        <v>363.11715199999998</v>
      </c>
      <c r="R12" s="138">
        <f>Apendix!$H$8</f>
        <v>6706.5427010000003</v>
      </c>
      <c r="S12" s="137">
        <f t="shared" si="5"/>
        <v>1659.0796079999998</v>
      </c>
      <c r="T12" s="138">
        <v>172.474051</v>
      </c>
      <c r="U12" s="138">
        <f>Apendix!$I$8</f>
        <v>7295.3604329999998</v>
      </c>
      <c r="V12" s="137">
        <f t="shared" si="6"/>
        <v>1763.0609490000002</v>
      </c>
      <c r="W12" s="138">
        <v>128.86477500000001</v>
      </c>
      <c r="X12" s="138">
        <f>Apendix!$J$8</f>
        <v>7569.0930229999994</v>
      </c>
      <c r="Y12" s="137">
        <f t="shared" si="7"/>
        <v>1554.8999579999997</v>
      </c>
      <c r="Z12" s="138">
        <v>116.22308200000001</v>
      </c>
      <c r="AA12" s="138">
        <f>Apendix!$K$8</f>
        <v>7763.1358289999998</v>
      </c>
      <c r="AB12" s="137">
        <f t="shared" si="8"/>
        <v>1557.583052</v>
      </c>
      <c r="AC12" s="138">
        <v>89.406270000000006</v>
      </c>
      <c r="AD12" s="138">
        <f>Apendix!$L$8</f>
        <v>8374.952612000001</v>
      </c>
      <c r="AE12" s="137">
        <f t="shared" si="9"/>
        <v>1498.4138359999999</v>
      </c>
      <c r="AF12" s="138">
        <v>69.200053999999994</v>
      </c>
      <c r="AG12" s="138">
        <f>Apendix!$M$8</f>
        <v>8441.1287429999993</v>
      </c>
      <c r="AH12" s="137">
        <f t="shared" si="11"/>
        <v>2853.7779550000005</v>
      </c>
      <c r="AI12" s="138">
        <f>Apendix!M23</f>
        <v>194.53781499999999</v>
      </c>
      <c r="AJ12" s="138">
        <f>Apendix!$N$8</f>
        <v>6605.5799399999996</v>
      </c>
      <c r="AK12" s="138">
        <f t="shared" si="10"/>
        <v>1985.3661141100001</v>
      </c>
      <c r="AL12" s="138">
        <v>421.21817199999998</v>
      </c>
      <c r="AN12" s="138">
        <v>6605.5799399999996</v>
      </c>
      <c r="AO12" s="138">
        <v>1985.3661141100001</v>
      </c>
      <c r="AP12" s="138">
        <v>421.21817199999998</v>
      </c>
    </row>
    <row r="13" spans="2:42" x14ac:dyDescent="0.35">
      <c r="B13" s="137">
        <v>11</v>
      </c>
      <c r="C13" s="137">
        <f>Apendix!$C$8</f>
        <v>5840.8360960000009</v>
      </c>
      <c r="D13" s="137">
        <f t="shared" si="0"/>
        <v>2658.3885950000004</v>
      </c>
      <c r="E13" s="138">
        <v>319.33303000000001</v>
      </c>
      <c r="F13" s="138">
        <f>Apendix!$D$8</f>
        <v>6384.403217000001</v>
      </c>
      <c r="G13" s="137">
        <f t="shared" si="1"/>
        <v>2118.9073489999996</v>
      </c>
      <c r="H13" s="138">
        <v>385.3449</v>
      </c>
      <c r="I13" s="138">
        <f>Apendix!$E$8</f>
        <v>6581.2263720000001</v>
      </c>
      <c r="J13" s="137">
        <f t="shared" si="2"/>
        <v>1816.9015690000001</v>
      </c>
      <c r="K13" s="138">
        <v>117.87584200000001</v>
      </c>
      <c r="L13" s="138">
        <f>Apendix!$F$8</f>
        <v>6839.8031820000006</v>
      </c>
      <c r="M13" s="137">
        <f t="shared" si="3"/>
        <v>1517.4979899999998</v>
      </c>
      <c r="N13" s="138">
        <v>124.99828100000001</v>
      </c>
      <c r="O13" s="138">
        <f>Apendix!$G$8</f>
        <v>6597.9354540000004</v>
      </c>
      <c r="P13" s="137">
        <f t="shared" si="4"/>
        <v>2502.1803359999999</v>
      </c>
      <c r="Q13" s="138">
        <v>278.35065900000001</v>
      </c>
      <c r="R13" s="138">
        <f>Apendix!$H$8</f>
        <v>6706.5427010000003</v>
      </c>
      <c r="S13" s="137">
        <f t="shared" si="5"/>
        <v>1737.3505819999998</v>
      </c>
      <c r="T13" s="138">
        <v>78.270973999999995</v>
      </c>
      <c r="U13" s="138">
        <f>Apendix!$I$8</f>
        <v>7295.3604329999998</v>
      </c>
      <c r="V13" s="137">
        <f t="shared" si="6"/>
        <v>1939.2365020000002</v>
      </c>
      <c r="W13" s="138">
        <v>176.17555300000001</v>
      </c>
      <c r="X13" s="138">
        <f>Apendix!$J$8</f>
        <v>7569.0930229999994</v>
      </c>
      <c r="Y13" s="137">
        <f t="shared" si="7"/>
        <v>1738.9132889999996</v>
      </c>
      <c r="Z13" s="138">
        <v>184.01333099999999</v>
      </c>
      <c r="AA13" s="138">
        <f>Apendix!$K$8</f>
        <v>7763.1358289999998</v>
      </c>
      <c r="AB13" s="137">
        <f t="shared" si="8"/>
        <v>1600.034357</v>
      </c>
      <c r="AC13" s="138">
        <v>42.451304999999998</v>
      </c>
      <c r="AD13" s="138">
        <f>Apendix!$L$8</f>
        <v>8374.952612000001</v>
      </c>
      <c r="AE13" s="137">
        <f t="shared" si="9"/>
        <v>1662.7651659999999</v>
      </c>
      <c r="AF13" s="138">
        <v>164.35132999999999</v>
      </c>
      <c r="AG13" s="138">
        <f>Apendix!$M$8</f>
        <v>8441.1287429999993</v>
      </c>
      <c r="AH13" s="137">
        <f t="shared" si="11"/>
        <v>3046.0186930000004</v>
      </c>
      <c r="AI13" s="138">
        <f>Apendix!M24</f>
        <v>192.24073799999999</v>
      </c>
      <c r="AJ13" s="138">
        <f>Apendix!$N$8</f>
        <v>6605.5799399999996</v>
      </c>
      <c r="AK13" s="138">
        <f t="shared" si="10"/>
        <v>2235.78837011</v>
      </c>
      <c r="AL13" s="138">
        <v>250.422256</v>
      </c>
      <c r="AN13" s="138">
        <v>6605.5799399999996</v>
      </c>
      <c r="AO13" s="138">
        <v>2235.78837011</v>
      </c>
      <c r="AP13" s="138">
        <v>250.422256</v>
      </c>
    </row>
    <row r="14" spans="2:42" x14ac:dyDescent="0.35">
      <c r="B14" s="137">
        <v>12</v>
      </c>
      <c r="C14" s="137">
        <f>Apendix!$C$8</f>
        <v>5840.8360960000009</v>
      </c>
      <c r="D14" s="137">
        <f t="shared" si="0"/>
        <v>2743.5133180000003</v>
      </c>
      <c r="E14" s="138">
        <v>85.124723000000003</v>
      </c>
      <c r="F14" s="138">
        <f>Apendix!$D$8</f>
        <v>6384.403217000001</v>
      </c>
      <c r="G14" s="137">
        <f t="shared" si="1"/>
        <v>2252.1422639999996</v>
      </c>
      <c r="H14" s="138">
        <v>133.234915</v>
      </c>
      <c r="I14" s="138">
        <f>Apendix!$E$8</f>
        <v>6581.2263720000001</v>
      </c>
      <c r="J14" s="137">
        <f t="shared" si="2"/>
        <v>2133.6228860000001</v>
      </c>
      <c r="K14" s="138">
        <v>316.721317</v>
      </c>
      <c r="L14" s="138">
        <f>Apendix!$F$8</f>
        <v>6839.8031820000006</v>
      </c>
      <c r="M14" s="137">
        <f t="shared" si="3"/>
        <v>1849.9103579999999</v>
      </c>
      <c r="N14" s="138">
        <v>332.41236800000001</v>
      </c>
      <c r="O14" s="138">
        <f>Apendix!$G$8</f>
        <v>6597.9354540000004</v>
      </c>
      <c r="P14" s="137">
        <f t="shared" si="4"/>
        <v>2787.2550919999999</v>
      </c>
      <c r="Q14" s="138">
        <v>285.07475599999998</v>
      </c>
      <c r="R14" s="138">
        <f>Apendix!$H$8</f>
        <v>6706.5427010000003</v>
      </c>
      <c r="S14" s="137">
        <f t="shared" si="5"/>
        <v>1936.8159549999998</v>
      </c>
      <c r="T14" s="138">
        <v>199.465373</v>
      </c>
      <c r="U14" s="138">
        <f>Apendix!$I$8</f>
        <v>7295.3604329999998</v>
      </c>
      <c r="V14" s="137">
        <f t="shared" si="6"/>
        <v>2216.3384830000005</v>
      </c>
      <c r="W14" s="138">
        <v>277.10198100000002</v>
      </c>
      <c r="X14" s="138">
        <f>Apendix!$J$8</f>
        <v>7569.0930229999994</v>
      </c>
      <c r="Y14" s="137">
        <f t="shared" si="7"/>
        <v>2557.8319729999994</v>
      </c>
      <c r="Z14" s="138">
        <v>818.91868399999998</v>
      </c>
      <c r="AA14" s="138">
        <f>Apendix!$K$8</f>
        <v>7763.1358289999998</v>
      </c>
      <c r="AB14" s="137">
        <f t="shared" si="8"/>
        <v>1755.3725469999999</v>
      </c>
      <c r="AC14" s="138">
        <v>155.33819</v>
      </c>
      <c r="AD14" s="138">
        <f>Apendix!$L$8</f>
        <v>8374.952612000001</v>
      </c>
      <c r="AE14" s="137">
        <f t="shared" si="9"/>
        <v>1877.379375</v>
      </c>
      <c r="AF14" s="138">
        <v>214.61420899999999</v>
      </c>
      <c r="AG14" s="138">
        <f>Apendix!$M$8</f>
        <v>8441.1287429999993</v>
      </c>
      <c r="AH14" s="137">
        <f t="shared" si="11"/>
        <v>3338.9063060000003</v>
      </c>
      <c r="AI14" s="138">
        <f>Apendix!M25</f>
        <v>292.88761299999999</v>
      </c>
      <c r="AJ14" s="138">
        <f>Apendix!$N$8</f>
        <v>6605.5799399999996</v>
      </c>
      <c r="AK14" s="138">
        <f t="shared" si="10"/>
        <v>2265.7171441099999</v>
      </c>
      <c r="AL14" s="138">
        <v>29.928774000000001</v>
      </c>
      <c r="AN14" s="138">
        <v>6605.5799399999996</v>
      </c>
      <c r="AO14" s="138">
        <v>2265.7171441099999</v>
      </c>
      <c r="AP14" s="138">
        <v>29.928774000000001</v>
      </c>
    </row>
    <row r="15" spans="2:42" ht="15.5" x14ac:dyDescent="0.35">
      <c r="B15" s="137">
        <v>13</v>
      </c>
      <c r="C15" s="137">
        <f>Apendix!$C$8</f>
        <v>5840.8360960000009</v>
      </c>
      <c r="D15" s="137">
        <f t="shared" si="0"/>
        <v>3158.0979810000003</v>
      </c>
      <c r="E15" s="138">
        <v>414.58466299999998</v>
      </c>
      <c r="F15" s="138">
        <f>Apendix!$D$8</f>
        <v>6384.403217000001</v>
      </c>
      <c r="G15" s="137">
        <f t="shared" si="1"/>
        <v>2327.9281489999994</v>
      </c>
      <c r="H15" s="138">
        <v>75.785884999999993</v>
      </c>
      <c r="I15" s="138">
        <f>Apendix!$E$8</f>
        <v>6581.2263720000001</v>
      </c>
      <c r="J15" s="137">
        <f t="shared" si="2"/>
        <v>2208.9092260000002</v>
      </c>
      <c r="K15" s="138">
        <v>75.286339999999996</v>
      </c>
      <c r="L15" s="138">
        <f>Apendix!$F$8</f>
        <v>6839.8031820000006</v>
      </c>
      <c r="M15" s="137">
        <f t="shared" si="3"/>
        <v>2078.6358449999998</v>
      </c>
      <c r="N15" s="138">
        <v>228.72548699999999</v>
      </c>
      <c r="O15" s="138">
        <f>Apendix!$G$8</f>
        <v>6597.9354540000004</v>
      </c>
      <c r="P15" s="137">
        <f t="shared" si="4"/>
        <v>2832.8466739999999</v>
      </c>
      <c r="Q15" s="138">
        <v>45.591582000000002</v>
      </c>
      <c r="R15" s="138">
        <f>Apendix!$H$8</f>
        <v>6706.5427010000003</v>
      </c>
      <c r="S15" s="137">
        <f t="shared" si="5"/>
        <v>2104.3571579999998</v>
      </c>
      <c r="T15" s="138">
        <v>167.541203</v>
      </c>
      <c r="U15" s="138">
        <f>Apendix!$I$8</f>
        <v>7295.3604329999998</v>
      </c>
      <c r="V15" s="137">
        <f t="shared" si="6"/>
        <v>2323.4131260000004</v>
      </c>
      <c r="W15" s="138">
        <v>107.07464299999999</v>
      </c>
      <c r="X15" s="138">
        <f>Apendix!$J$8</f>
        <v>7569.0930229999994</v>
      </c>
      <c r="Y15" s="137">
        <f t="shared" si="7"/>
        <v>2721.5348809999996</v>
      </c>
      <c r="Z15" s="138">
        <v>163.70290800000001</v>
      </c>
      <c r="AA15" s="138">
        <f>Apendix!$K$8</f>
        <v>7763.1358289999998</v>
      </c>
      <c r="AB15" s="137">
        <f t="shared" si="8"/>
        <v>1849.1858159999999</v>
      </c>
      <c r="AC15" s="138">
        <v>93.813269000000005</v>
      </c>
      <c r="AD15" s="138">
        <f>Apendix!$L$8</f>
        <v>8374.952612000001</v>
      </c>
      <c r="AE15" s="137">
        <f t="shared" si="9"/>
        <v>2024.4239789999999</v>
      </c>
      <c r="AF15" s="139">
        <v>147.04460399999999</v>
      </c>
      <c r="AG15" s="138">
        <f>Apendix!$M$8</f>
        <v>8441.1287429999993</v>
      </c>
      <c r="AH15" s="137">
        <f t="shared" si="11"/>
        <v>3631.7939190000002</v>
      </c>
      <c r="AI15" s="138">
        <f>Apendix!M26</f>
        <v>292.88761299999999</v>
      </c>
      <c r="AJ15" s="138">
        <f>Apendix!$N$8</f>
        <v>6605.5799399999996</v>
      </c>
      <c r="AK15" s="138">
        <f t="shared" si="10"/>
        <v>2603.5622191100001</v>
      </c>
      <c r="AL15" s="138">
        <v>337.84507500000001</v>
      </c>
      <c r="AN15" s="138">
        <v>6605.5799399999996</v>
      </c>
      <c r="AO15" s="138">
        <v>2603.5622191100001</v>
      </c>
      <c r="AP15" s="138">
        <v>337.84507500000001</v>
      </c>
    </row>
    <row r="16" spans="2:42" x14ac:dyDescent="0.35">
      <c r="B16" s="137">
        <v>14</v>
      </c>
      <c r="C16" s="137">
        <f>Apendix!$C$8</f>
        <v>5840.8360960000009</v>
      </c>
      <c r="D16" s="137">
        <f t="shared" si="0"/>
        <v>3351.5628790000005</v>
      </c>
      <c r="E16" s="138">
        <v>193.46489800000001</v>
      </c>
      <c r="F16" s="138">
        <f>Apendix!$D$8</f>
        <v>6384.403217000001</v>
      </c>
      <c r="G16" s="137">
        <f t="shared" si="1"/>
        <v>2543.6750089999996</v>
      </c>
      <c r="H16" s="138">
        <v>215.74686</v>
      </c>
      <c r="I16" s="138">
        <f>Apendix!$E$8</f>
        <v>6581.2263720000001</v>
      </c>
      <c r="J16" s="137">
        <f t="shared" si="2"/>
        <v>2555.0228580000003</v>
      </c>
      <c r="K16" s="138">
        <v>346.113632</v>
      </c>
      <c r="L16" s="138">
        <f>Apendix!$F$8</f>
        <v>6839.8031820000006</v>
      </c>
      <c r="M16" s="137">
        <f t="shared" si="3"/>
        <v>2237.0778819999996</v>
      </c>
      <c r="N16" s="138">
        <v>158.442037</v>
      </c>
      <c r="O16" s="138">
        <f>Apendix!$G$8</f>
        <v>6597.9354540000004</v>
      </c>
      <c r="P16" s="137">
        <f t="shared" si="4"/>
        <v>3217.0592079999997</v>
      </c>
      <c r="Q16" s="138">
        <v>384.21253400000001</v>
      </c>
      <c r="R16" s="138">
        <f>Apendix!$H$8</f>
        <v>6706.5427010000003</v>
      </c>
      <c r="S16" s="137">
        <f t="shared" si="5"/>
        <v>2510.3435329999998</v>
      </c>
      <c r="T16" s="138">
        <v>405.98637500000001</v>
      </c>
      <c r="U16" s="138">
        <f>Apendix!$I$8</f>
        <v>7295.3604329999998</v>
      </c>
      <c r="V16" s="137">
        <f t="shared" si="6"/>
        <v>2546.0341470000003</v>
      </c>
      <c r="W16" s="138">
        <v>222.62102100000001</v>
      </c>
      <c r="X16" s="138">
        <f>Apendix!$J$8</f>
        <v>7569.0930229999994</v>
      </c>
      <c r="Y16" s="137">
        <f t="shared" si="7"/>
        <v>2783.8321079999996</v>
      </c>
      <c r="Z16" s="138">
        <v>62.297226999999999</v>
      </c>
      <c r="AA16" s="138">
        <f>Apendix!$K$8</f>
        <v>7763.1358289999998</v>
      </c>
      <c r="AB16" s="137">
        <f t="shared" si="8"/>
        <v>2026.599616</v>
      </c>
      <c r="AC16" s="138">
        <v>177.41380000000001</v>
      </c>
      <c r="AD16" s="138">
        <f>Apendix!$L$8</f>
        <v>8374.952612000001</v>
      </c>
      <c r="AE16" s="137">
        <f t="shared" si="9"/>
        <v>2272.9791319999999</v>
      </c>
      <c r="AF16" s="138">
        <v>248.55515299999999</v>
      </c>
      <c r="AG16" s="138">
        <f>Apendix!$M$8</f>
        <v>8441.1287429999993</v>
      </c>
      <c r="AH16" s="137">
        <f t="shared" si="11"/>
        <v>3788.725316</v>
      </c>
      <c r="AI16" s="138">
        <f>Apendix!M27</f>
        <v>156.931397</v>
      </c>
      <c r="AJ16" s="138">
        <f>Apendix!$N$8</f>
        <v>6605.5799399999996</v>
      </c>
      <c r="AK16" s="138">
        <f t="shared" si="10"/>
        <v>2961.3820791100002</v>
      </c>
      <c r="AL16" s="138">
        <v>357.81986000000001</v>
      </c>
      <c r="AN16" s="138">
        <v>6605.5799399999996</v>
      </c>
      <c r="AO16" s="138">
        <v>2961.3820791100002</v>
      </c>
      <c r="AP16" s="138">
        <v>357.81986000000001</v>
      </c>
    </row>
    <row r="17" spans="2:42" x14ac:dyDescent="0.35">
      <c r="B17" s="137">
        <v>15</v>
      </c>
      <c r="C17" s="137">
        <f>Apendix!$C$8</f>
        <v>5840.8360960000009</v>
      </c>
      <c r="D17" s="137">
        <f t="shared" si="0"/>
        <v>3748.6500160000005</v>
      </c>
      <c r="E17" s="138">
        <v>397.08713699999998</v>
      </c>
      <c r="F17" s="138">
        <f>Apendix!$D$8</f>
        <v>6384.403217000001</v>
      </c>
      <c r="G17" s="137">
        <f t="shared" si="1"/>
        <v>2608.0238239999994</v>
      </c>
      <c r="H17" s="138">
        <v>64.348815000000002</v>
      </c>
      <c r="I17" s="138">
        <f>Apendix!$E$8</f>
        <v>6581.2263720000001</v>
      </c>
      <c r="J17" s="137">
        <f t="shared" si="2"/>
        <v>2675.9220750000004</v>
      </c>
      <c r="K17" s="138">
        <v>120.89921699999999</v>
      </c>
      <c r="L17" s="138">
        <f>Apendix!$F$8</f>
        <v>6839.8031820000006</v>
      </c>
      <c r="M17" s="137">
        <f t="shared" si="3"/>
        <v>2581.8968129999994</v>
      </c>
      <c r="N17" s="138">
        <v>344.81893100000002</v>
      </c>
      <c r="O17" s="138">
        <f>Apendix!$G$8</f>
        <v>6597.9354540000004</v>
      </c>
      <c r="P17" s="137">
        <f t="shared" si="4"/>
        <v>3323.7411299999999</v>
      </c>
      <c r="Q17" s="138">
        <v>106.681922</v>
      </c>
      <c r="R17" s="138">
        <f>Apendix!$H$8</f>
        <v>6706.5427010000003</v>
      </c>
      <c r="S17" s="137">
        <f t="shared" si="5"/>
        <v>2777.0242019999996</v>
      </c>
      <c r="T17" s="138">
        <v>266.68066900000002</v>
      </c>
      <c r="U17" s="138">
        <f>Apendix!$I$8</f>
        <v>7295.3604329999998</v>
      </c>
      <c r="V17" s="137">
        <f t="shared" si="6"/>
        <v>2963.1162450000002</v>
      </c>
      <c r="W17" s="138">
        <v>417.08209799999997</v>
      </c>
      <c r="X17" s="138">
        <f>Apendix!$J$8</f>
        <v>7569.0930229999994</v>
      </c>
      <c r="Y17" s="137">
        <f t="shared" si="7"/>
        <v>2999.9603949999996</v>
      </c>
      <c r="Z17" s="138">
        <v>216.128287</v>
      </c>
      <c r="AA17" s="138">
        <f>Apendix!$K$8</f>
        <v>7763.1358289999998</v>
      </c>
      <c r="AB17" s="137">
        <f t="shared" si="8"/>
        <v>2167.212884</v>
      </c>
      <c r="AC17" s="138">
        <v>140.61326800000001</v>
      </c>
      <c r="AD17" s="138">
        <f>Apendix!$L$8</f>
        <v>8374.952612000001</v>
      </c>
      <c r="AE17" s="137">
        <f t="shared" si="9"/>
        <v>2498.9444089999997</v>
      </c>
      <c r="AF17" s="138">
        <v>225.96527699999999</v>
      </c>
      <c r="AG17" s="138">
        <f>Apendix!$M$8</f>
        <v>8441.1287429999993</v>
      </c>
      <c r="AH17" s="137">
        <f t="shared" si="11"/>
        <v>4315.9715210000004</v>
      </c>
      <c r="AI17" s="138">
        <f>Apendix!M28</f>
        <v>527.24620500000003</v>
      </c>
      <c r="AJ17" s="138">
        <f>Apendix!$N$8</f>
        <v>6605.5799399999996</v>
      </c>
      <c r="AK17" s="138">
        <f t="shared" si="10"/>
        <v>3189.2446751100001</v>
      </c>
      <c r="AL17" s="138">
        <v>227.862596</v>
      </c>
      <c r="AN17" s="138">
        <v>6605.5799399999996</v>
      </c>
      <c r="AO17" s="138">
        <v>3189.2446751100001</v>
      </c>
      <c r="AP17" s="138">
        <v>227.862596</v>
      </c>
    </row>
    <row r="18" spans="2:42" x14ac:dyDescent="0.35">
      <c r="B18" s="137">
        <v>16</v>
      </c>
      <c r="C18" s="137">
        <f>Apendix!$C$8</f>
        <v>5840.8360960000009</v>
      </c>
      <c r="D18" s="137">
        <f t="shared" si="0"/>
        <v>4288.9387550000001</v>
      </c>
      <c r="E18" s="138">
        <v>540.28873899999996</v>
      </c>
      <c r="F18" s="138">
        <f>Apendix!$D$8</f>
        <v>6384.403217000001</v>
      </c>
      <c r="G18" s="137">
        <f t="shared" si="1"/>
        <v>2740.5423169999995</v>
      </c>
      <c r="H18" s="138">
        <v>132.51849300000001</v>
      </c>
      <c r="I18" s="138">
        <f>Apendix!$E$8</f>
        <v>6581.2263720000001</v>
      </c>
      <c r="J18" s="137">
        <f t="shared" si="2"/>
        <v>3221.9444960000005</v>
      </c>
      <c r="K18" s="138">
        <v>546.02242100000001</v>
      </c>
      <c r="L18" s="138">
        <f>Apendix!$F$8</f>
        <v>6839.8031820000006</v>
      </c>
      <c r="M18" s="137">
        <f t="shared" si="3"/>
        <v>2727.2670539999995</v>
      </c>
      <c r="N18" s="138">
        <v>145.37024099999999</v>
      </c>
      <c r="O18" s="138">
        <f>Apendix!$G$8</f>
        <v>6597.9354540000004</v>
      </c>
      <c r="P18" s="137">
        <f t="shared" si="4"/>
        <v>3509.3073399999998</v>
      </c>
      <c r="Q18" s="138">
        <v>185.56621000000001</v>
      </c>
      <c r="R18" s="138">
        <f>Apendix!$H$8</f>
        <v>6706.5427010000003</v>
      </c>
      <c r="S18" s="137">
        <f t="shared" si="5"/>
        <v>2842.3150379999997</v>
      </c>
      <c r="T18" s="138">
        <v>65.290835999999999</v>
      </c>
      <c r="U18" s="138">
        <f>Apendix!$I$8</f>
        <v>7295.3604329999998</v>
      </c>
      <c r="V18" s="137">
        <f t="shared" si="6"/>
        <v>3190.629672</v>
      </c>
      <c r="W18" s="138">
        <v>227.51342700000001</v>
      </c>
      <c r="X18" s="138">
        <f>Apendix!$J$8</f>
        <v>7569.0930229999994</v>
      </c>
      <c r="Y18" s="137">
        <f t="shared" si="7"/>
        <v>3113.0815779999998</v>
      </c>
      <c r="Z18" s="138">
        <v>113.121183</v>
      </c>
      <c r="AA18" s="138">
        <f>Apendix!$K$8</f>
        <v>7763.1358289999998</v>
      </c>
      <c r="AB18" s="137">
        <f t="shared" si="8"/>
        <v>2544.1264919999999</v>
      </c>
      <c r="AC18" s="138">
        <v>376.91360800000001</v>
      </c>
      <c r="AD18" s="138">
        <f>Apendix!$L$8</f>
        <v>8374.952612000001</v>
      </c>
      <c r="AE18" s="137">
        <f t="shared" si="9"/>
        <v>2547.9194819999998</v>
      </c>
      <c r="AF18" s="138">
        <v>48.975073000000002</v>
      </c>
      <c r="AG18" s="138">
        <f>Apendix!$M$8</f>
        <v>8441.1287429999993</v>
      </c>
      <c r="AH18" s="137">
        <f t="shared" si="11"/>
        <v>4431.264561</v>
      </c>
      <c r="AI18" s="138">
        <f>Apendix!M29</f>
        <v>115.29304</v>
      </c>
      <c r="AJ18" s="138">
        <f>Apendix!$N$8</f>
        <v>6605.5799399999996</v>
      </c>
      <c r="AK18" s="138">
        <f t="shared" si="10"/>
        <v>3404.7986751100002</v>
      </c>
      <c r="AL18" s="138">
        <v>215.554</v>
      </c>
      <c r="AN18" s="138">
        <v>6605.5799399999996</v>
      </c>
      <c r="AO18" s="138">
        <v>3404.7986751100002</v>
      </c>
      <c r="AP18" s="138">
        <v>215.554</v>
      </c>
    </row>
    <row r="19" spans="2:42" x14ac:dyDescent="0.35">
      <c r="B19" s="137">
        <v>17</v>
      </c>
      <c r="C19" s="137">
        <f>Apendix!$C$8</f>
        <v>5840.8360960000009</v>
      </c>
      <c r="D19" s="137">
        <f t="shared" si="0"/>
        <v>4438.2354770000002</v>
      </c>
      <c r="E19" s="138">
        <v>149.29672199999999</v>
      </c>
      <c r="F19" s="138">
        <f>Apendix!$D$8</f>
        <v>6384.403217000001</v>
      </c>
      <c r="G19" s="137">
        <f t="shared" si="1"/>
        <v>3361.8149169999997</v>
      </c>
      <c r="H19" s="138">
        <v>621.27260000000001</v>
      </c>
      <c r="I19" s="138">
        <f>Apendix!$E$8</f>
        <v>6581.2263720000001</v>
      </c>
      <c r="J19" s="137">
        <f t="shared" si="2"/>
        <v>3596.7872320000006</v>
      </c>
      <c r="K19" s="138">
        <v>374.842736</v>
      </c>
      <c r="L19" s="138">
        <f>Apendix!$F$8</f>
        <v>6839.8031820000006</v>
      </c>
      <c r="M19" s="137">
        <f t="shared" si="3"/>
        <v>3157.7270289999997</v>
      </c>
      <c r="N19" s="138">
        <v>430.45997499999999</v>
      </c>
      <c r="O19" s="138">
        <f>Apendix!$G$8</f>
        <v>6597.9354540000004</v>
      </c>
      <c r="P19" s="137">
        <f t="shared" si="4"/>
        <v>3637.9921019999997</v>
      </c>
      <c r="Q19" s="138">
        <v>128.68476200000001</v>
      </c>
      <c r="R19" s="138">
        <f>Apendix!$H$8</f>
        <v>6706.5427010000003</v>
      </c>
      <c r="S19" s="137">
        <f t="shared" si="5"/>
        <v>2951.8776949999997</v>
      </c>
      <c r="T19" s="138">
        <v>109.562657</v>
      </c>
      <c r="U19" s="138">
        <f>Apendix!$I$8</f>
        <v>7295.3604329999998</v>
      </c>
      <c r="V19" s="137">
        <f t="shared" si="6"/>
        <v>3409.5706169999999</v>
      </c>
      <c r="W19" s="138">
        <v>218.940945</v>
      </c>
      <c r="X19" s="138">
        <f>Apendix!$J$8</f>
        <v>7569.0930229999994</v>
      </c>
      <c r="Y19" s="137">
        <f t="shared" si="7"/>
        <v>3284.2890669999997</v>
      </c>
      <c r="Z19" s="138">
        <v>171.20748900000001</v>
      </c>
      <c r="AA19" s="138">
        <f>Apendix!$K$8</f>
        <v>7763.1358289999998</v>
      </c>
      <c r="AB19" s="137">
        <f t="shared" si="8"/>
        <v>2763.590569</v>
      </c>
      <c r="AC19" s="138">
        <v>219.464077</v>
      </c>
      <c r="AD19" s="138">
        <f>Apendix!$L$8</f>
        <v>8374.952612000001</v>
      </c>
      <c r="AE19" s="137">
        <f t="shared" si="9"/>
        <v>3104.9709189999999</v>
      </c>
      <c r="AF19" s="138">
        <v>557.05143699999996</v>
      </c>
      <c r="AG19" s="138">
        <f>Apendix!$M$8</f>
        <v>8441.1287429999993</v>
      </c>
      <c r="AH19" s="137">
        <f t="shared" si="11"/>
        <v>4936.1762189999999</v>
      </c>
      <c r="AI19" s="138">
        <f>Apendix!M30</f>
        <v>504.91165799999999</v>
      </c>
      <c r="AJ19" s="138">
        <f>Apendix!$N$8</f>
        <v>6605.5799399999996</v>
      </c>
      <c r="AK19" s="138">
        <f t="shared" si="10"/>
        <v>3558.2556261100003</v>
      </c>
      <c r="AL19" s="138">
        <v>153.456951</v>
      </c>
      <c r="AN19" s="138">
        <v>6605.5799399999996</v>
      </c>
      <c r="AO19" s="138">
        <v>3558.2556261100003</v>
      </c>
      <c r="AP19" s="138">
        <v>153.456951</v>
      </c>
    </row>
    <row r="20" spans="2:42" x14ac:dyDescent="0.35">
      <c r="B20" s="137">
        <v>18</v>
      </c>
      <c r="C20" s="137">
        <f>Apendix!$C$8</f>
        <v>5840.8360960000009</v>
      </c>
      <c r="D20" s="137">
        <f t="shared" si="0"/>
        <v>4623.8095320000002</v>
      </c>
      <c r="E20" s="138">
        <v>185.57405499999999</v>
      </c>
      <c r="F20" s="138">
        <f>Apendix!$D$8</f>
        <v>6384.403217000001</v>
      </c>
      <c r="G20" s="137">
        <f t="shared" si="1"/>
        <v>3459.8526509999997</v>
      </c>
      <c r="H20" s="138">
        <v>98.037734</v>
      </c>
      <c r="I20" s="138">
        <f>Apendix!$E$8</f>
        <v>6581.2263720000001</v>
      </c>
      <c r="J20" s="137">
        <f t="shared" si="2"/>
        <v>3912.5651260000004</v>
      </c>
      <c r="K20" s="138">
        <v>315.777894</v>
      </c>
      <c r="L20" s="138">
        <f>Apendix!$F$8</f>
        <v>6839.8031820000006</v>
      </c>
      <c r="M20" s="137">
        <f t="shared" si="3"/>
        <v>3467.8614979999998</v>
      </c>
      <c r="N20" s="138">
        <v>310.13446900000002</v>
      </c>
      <c r="O20" s="138">
        <f>Apendix!$G$8</f>
        <v>6597.9354540000004</v>
      </c>
      <c r="P20" s="137">
        <f t="shared" si="4"/>
        <v>3795.0751829999999</v>
      </c>
      <c r="Q20" s="138">
        <v>157.08308099999999</v>
      </c>
      <c r="R20" s="138">
        <f>Apendix!$H$8</f>
        <v>6706.5427010000003</v>
      </c>
      <c r="S20" s="137">
        <f t="shared" si="5"/>
        <v>3383.8507199999995</v>
      </c>
      <c r="T20" s="138">
        <v>431.97302500000001</v>
      </c>
      <c r="U20" s="138">
        <f>Apendix!$I$8</f>
        <v>7295.3604329999998</v>
      </c>
      <c r="V20" s="137">
        <f t="shared" si="6"/>
        <v>3714.0250539999997</v>
      </c>
      <c r="W20" s="138">
        <v>304.45443699999998</v>
      </c>
      <c r="X20" s="138">
        <f>Apendix!$J$8</f>
        <v>7569.0930229999994</v>
      </c>
      <c r="Y20" s="137">
        <f t="shared" si="7"/>
        <v>3577.8860509999995</v>
      </c>
      <c r="Z20" s="138">
        <v>293.59698400000002</v>
      </c>
      <c r="AA20" s="138">
        <f>Apendix!$K$8</f>
        <v>7763.1358289999998</v>
      </c>
      <c r="AB20" s="137">
        <f t="shared" si="8"/>
        <v>2963.006707</v>
      </c>
      <c r="AC20" s="138">
        <v>199.41613799999999</v>
      </c>
      <c r="AD20" s="138">
        <f>Apendix!$L$8</f>
        <v>8374.952612000001</v>
      </c>
      <c r="AE20" s="137">
        <f t="shared" si="9"/>
        <v>3167.5045999999998</v>
      </c>
      <c r="AF20" s="138">
        <v>62.533681000000001</v>
      </c>
      <c r="AG20" s="138">
        <f>Apendix!$M$8</f>
        <v>8441.1287429999993</v>
      </c>
      <c r="AH20" s="137">
        <f t="shared" si="11"/>
        <v>5213.0729609999999</v>
      </c>
      <c r="AI20" s="138">
        <f>Apendix!M31</f>
        <v>276.89674200000002</v>
      </c>
      <c r="AJ20" s="138">
        <f>Apendix!$N$8</f>
        <v>6605.5799399999996</v>
      </c>
      <c r="AK20" s="138">
        <f t="shared" si="10"/>
        <v>3679.1953571100003</v>
      </c>
      <c r="AL20" s="138">
        <v>120.93973099999999</v>
      </c>
      <c r="AN20" s="138">
        <v>6605.5799399999996</v>
      </c>
      <c r="AO20" s="138">
        <v>3679.1953571100003</v>
      </c>
      <c r="AP20" s="138">
        <v>120.93973099999999</v>
      </c>
    </row>
    <row r="21" spans="2:42" x14ac:dyDescent="0.35">
      <c r="B21" s="137">
        <v>19</v>
      </c>
      <c r="C21" s="137">
        <f>Apendix!$C$8</f>
        <v>5840.8360960000009</v>
      </c>
      <c r="D21" s="137">
        <f t="shared" si="0"/>
        <v>5130.0288360000004</v>
      </c>
      <c r="E21" s="138">
        <v>506.21930400000002</v>
      </c>
      <c r="F21" s="138">
        <f>Apendix!$D$8</f>
        <v>6384.403217000001</v>
      </c>
      <c r="G21" s="137">
        <f t="shared" si="1"/>
        <v>3474.7122929999996</v>
      </c>
      <c r="H21" s="138">
        <v>14.859641999999999</v>
      </c>
      <c r="I21" s="138">
        <f>Apendix!$E$8</f>
        <v>6581.2263720000001</v>
      </c>
      <c r="J21" s="137">
        <f t="shared" si="2"/>
        <v>4061.4422990000003</v>
      </c>
      <c r="K21" s="138">
        <v>148.877173</v>
      </c>
      <c r="L21" s="138">
        <f>Apendix!$F$8</f>
        <v>6839.8031820000006</v>
      </c>
      <c r="M21" s="137">
        <f t="shared" si="3"/>
        <v>3782.1566059999996</v>
      </c>
      <c r="N21" s="138">
        <v>314.29510800000003</v>
      </c>
      <c r="O21" s="138">
        <f>Apendix!$G$8</f>
        <v>6597.9354540000004</v>
      </c>
      <c r="P21" s="137">
        <f t="shared" si="4"/>
        <v>3890.1003069999997</v>
      </c>
      <c r="Q21" s="138">
        <v>95.025124000000005</v>
      </c>
      <c r="R21" s="138">
        <f>Apendix!$H$8</f>
        <v>6706.5427010000003</v>
      </c>
      <c r="S21" s="137">
        <f t="shared" si="5"/>
        <v>3494.1321409999996</v>
      </c>
      <c r="T21" s="138">
        <v>110.28142099999999</v>
      </c>
      <c r="U21" s="138">
        <f>Apendix!$I$8</f>
        <v>7295.3604329999998</v>
      </c>
      <c r="V21" s="137">
        <f t="shared" si="6"/>
        <v>4368.4719159999995</v>
      </c>
      <c r="W21" s="138">
        <v>654.44686200000001</v>
      </c>
      <c r="X21" s="138">
        <f>Apendix!$J$8</f>
        <v>7569.0930229999994</v>
      </c>
      <c r="Y21" s="137">
        <f t="shared" si="7"/>
        <v>3742.8048839999997</v>
      </c>
      <c r="Z21" s="138">
        <v>164.91883300000001</v>
      </c>
      <c r="AA21" s="138">
        <f>Apendix!$K$8</f>
        <v>7763.1358289999998</v>
      </c>
      <c r="AB21" s="137">
        <f t="shared" si="8"/>
        <v>3072.7531570000001</v>
      </c>
      <c r="AC21" s="138">
        <v>109.74645</v>
      </c>
      <c r="AD21" s="138">
        <f>Apendix!$L$8</f>
        <v>8374.952612000001</v>
      </c>
      <c r="AE21" s="137">
        <f t="shared" si="9"/>
        <v>3361.8676829999999</v>
      </c>
      <c r="AF21" s="138">
        <v>194.36308299999999</v>
      </c>
      <c r="AG21" s="138">
        <f>Apendix!$M$8</f>
        <v>8441.1287429999993</v>
      </c>
      <c r="AH21" s="137">
        <f t="shared" si="11"/>
        <v>5407.2519539999994</v>
      </c>
      <c r="AI21" s="138">
        <f>Apendix!M32</f>
        <v>194.17899299999999</v>
      </c>
      <c r="AJ21" s="138">
        <f>Apendix!$N$8</f>
        <v>6605.5799399999996</v>
      </c>
      <c r="AK21" s="138">
        <f t="shared" si="10"/>
        <v>4157.4374727499999</v>
      </c>
      <c r="AL21" s="138">
        <v>478.24211564000001</v>
      </c>
      <c r="AN21" s="138">
        <v>6605.5799399999996</v>
      </c>
      <c r="AO21" s="138">
        <v>4157.4374727499999</v>
      </c>
      <c r="AP21" s="138">
        <v>478.24211564000001</v>
      </c>
    </row>
    <row r="22" spans="2:42" x14ac:dyDescent="0.35">
      <c r="B22" s="137">
        <v>20</v>
      </c>
      <c r="C22" s="137">
        <f>Apendix!$C$8</f>
        <v>5840.8360960000009</v>
      </c>
      <c r="D22" s="137">
        <f t="shared" si="0"/>
        <v>5246.732121</v>
      </c>
      <c r="E22" s="138">
        <v>116.70328499999999</v>
      </c>
      <c r="F22" s="138">
        <f>Apendix!$D$8</f>
        <v>6384.403217000001</v>
      </c>
      <c r="G22" s="137">
        <f t="shared" si="1"/>
        <v>3917.8729149999995</v>
      </c>
      <c r="H22" s="138">
        <v>443.16062199999999</v>
      </c>
      <c r="I22" s="138">
        <f>Apendix!$E$8</f>
        <v>6581.2263720000001</v>
      </c>
      <c r="J22" s="137">
        <f t="shared" si="2"/>
        <v>4533.1385810000002</v>
      </c>
      <c r="K22" s="138">
        <v>471.696282</v>
      </c>
      <c r="L22" s="138">
        <f>Apendix!$F$8</f>
        <v>6839.8031820000006</v>
      </c>
      <c r="M22" s="137">
        <f t="shared" si="3"/>
        <v>3949.6232409999993</v>
      </c>
      <c r="N22" s="138">
        <v>167.466635</v>
      </c>
      <c r="O22" s="138">
        <f>Apendix!$G$8</f>
        <v>6597.9354540000004</v>
      </c>
      <c r="P22" s="137">
        <f t="shared" si="4"/>
        <v>4075.3547709999998</v>
      </c>
      <c r="Q22" s="138">
        <v>185.25446400000001</v>
      </c>
      <c r="R22" s="138">
        <f>Apendix!$H$8</f>
        <v>6706.5427010000003</v>
      </c>
      <c r="S22" s="137">
        <f t="shared" si="5"/>
        <v>3816.2174339999997</v>
      </c>
      <c r="T22" s="138">
        <v>322.08529299999998</v>
      </c>
      <c r="U22" s="138">
        <f>Apendix!$I$8</f>
        <v>7295.3604329999998</v>
      </c>
      <c r="V22" s="137">
        <f t="shared" si="6"/>
        <v>4596.7154099999998</v>
      </c>
      <c r="W22" s="138">
        <v>228.243494</v>
      </c>
      <c r="X22" s="138">
        <f>Apendix!$J$8</f>
        <v>7569.0930229999994</v>
      </c>
      <c r="Y22" s="137">
        <f t="shared" si="7"/>
        <v>3793.8300949999998</v>
      </c>
      <c r="Z22" s="138">
        <v>51.025210999999999</v>
      </c>
      <c r="AA22" s="138">
        <f>Apendix!$K$8</f>
        <v>7763.1358289999998</v>
      </c>
      <c r="AB22" s="137">
        <f t="shared" si="8"/>
        <v>3294.6415080000002</v>
      </c>
      <c r="AC22" s="138">
        <v>221.888351</v>
      </c>
      <c r="AD22" s="138">
        <f>Apendix!$L$8</f>
        <v>8374.952612000001</v>
      </c>
      <c r="AE22" s="137">
        <f t="shared" si="9"/>
        <v>3708.8842399999999</v>
      </c>
      <c r="AF22" s="138">
        <v>347.01655699999998</v>
      </c>
      <c r="AG22" s="138">
        <f>Apendix!$M$8</f>
        <v>8441.1287429999993</v>
      </c>
      <c r="AH22" s="137">
        <f t="shared" si="11"/>
        <v>5545.3762879999995</v>
      </c>
      <c r="AI22" s="138">
        <f>Apendix!M33</f>
        <v>138.124334</v>
      </c>
      <c r="AJ22" s="138">
        <f>Apendix!$N$8</f>
        <v>6605.5799399999996</v>
      </c>
      <c r="AK22" s="138">
        <f t="shared" si="10"/>
        <v>4262.4372557500001</v>
      </c>
      <c r="AL22" s="138">
        <v>104.99978299999999</v>
      </c>
      <c r="AN22" s="138">
        <v>6605.5799399999996</v>
      </c>
      <c r="AO22" s="138">
        <v>4262.4372557500001</v>
      </c>
      <c r="AP22" s="138">
        <v>104.99978299999999</v>
      </c>
    </row>
    <row r="23" spans="2:42" x14ac:dyDescent="0.35">
      <c r="B23" s="137">
        <v>21</v>
      </c>
      <c r="C23" s="137">
        <f>Apendix!$C$8</f>
        <v>5840.8360960000009</v>
      </c>
      <c r="D23" s="137">
        <f t="shared" si="0"/>
        <v>5538.8392780000004</v>
      </c>
      <c r="E23" s="138">
        <v>292.10715699999997</v>
      </c>
      <c r="F23" s="138">
        <f>Apendix!$D$8</f>
        <v>6384.403217000001</v>
      </c>
      <c r="G23" s="137">
        <f t="shared" si="1"/>
        <v>4175.4648369999995</v>
      </c>
      <c r="H23" s="138">
        <v>257.59192200000001</v>
      </c>
      <c r="I23" s="138">
        <f>Apendix!$E$8</f>
        <v>6581.2263720000001</v>
      </c>
      <c r="J23" s="137">
        <f t="shared" si="2"/>
        <v>4923.7677009999998</v>
      </c>
      <c r="K23" s="138">
        <v>390.62912</v>
      </c>
      <c r="L23" s="138">
        <f>Apendix!$F$8</f>
        <v>6839.8031820000006</v>
      </c>
      <c r="M23" s="137">
        <f t="shared" si="3"/>
        <v>4128.1322429999991</v>
      </c>
      <c r="N23" s="138">
        <v>178.50900200000001</v>
      </c>
      <c r="O23" s="138">
        <f>Apendix!$G$8</f>
        <v>6597.9354540000004</v>
      </c>
      <c r="P23" s="137">
        <f t="shared" si="4"/>
        <v>4242.0126529999998</v>
      </c>
      <c r="Q23" s="138">
        <v>166.657882</v>
      </c>
      <c r="R23" s="138">
        <f>Apendix!$H$8</f>
        <v>6706.5427010000003</v>
      </c>
      <c r="S23" s="137">
        <f t="shared" si="5"/>
        <v>4239.5495659999997</v>
      </c>
      <c r="T23" s="138">
        <v>423.332132</v>
      </c>
      <c r="U23" s="138">
        <f>Apendix!$I$8</f>
        <v>7295.3604329999998</v>
      </c>
      <c r="V23" s="137">
        <f t="shared" si="6"/>
        <v>4936.5277040000001</v>
      </c>
      <c r="W23" s="138">
        <v>339.81229400000001</v>
      </c>
      <c r="X23" s="138">
        <f>Apendix!$J$8</f>
        <v>7569.0930229999994</v>
      </c>
      <c r="Y23" s="137">
        <f t="shared" si="7"/>
        <v>3984.0205579999997</v>
      </c>
      <c r="Z23" s="138">
        <v>190.19046299999999</v>
      </c>
      <c r="AA23" s="138">
        <f>Apendix!$K$8</f>
        <v>7763.1358289999998</v>
      </c>
      <c r="AB23" s="137">
        <f t="shared" si="8"/>
        <v>3702.7467390000002</v>
      </c>
      <c r="AC23" s="138">
        <v>408.105231</v>
      </c>
      <c r="AD23" s="138">
        <f>Apendix!$L$8</f>
        <v>8374.952612000001</v>
      </c>
      <c r="AE23" s="137">
        <f t="shared" si="9"/>
        <v>4012.3355999999999</v>
      </c>
      <c r="AF23" s="138">
        <v>303.45136000000002</v>
      </c>
      <c r="AG23" s="138">
        <f>Apendix!$M$8</f>
        <v>8441.1287429999993</v>
      </c>
      <c r="AH23" s="137">
        <f t="shared" si="11"/>
        <v>5840.1990529999994</v>
      </c>
      <c r="AI23" s="138">
        <f>Apendix!M34</f>
        <v>294.822765</v>
      </c>
      <c r="AJ23" s="138">
        <f>Apendix!$N$8</f>
        <v>6605.5799399999996</v>
      </c>
      <c r="AK23" s="138">
        <f t="shared" si="10"/>
        <v>4391.1597757500003</v>
      </c>
      <c r="AL23" s="138">
        <v>128.72252</v>
      </c>
      <c r="AN23" s="138">
        <v>6605.5799399999996</v>
      </c>
      <c r="AO23" s="138">
        <v>4391.1597757500003</v>
      </c>
      <c r="AP23" s="138">
        <v>128.72252</v>
      </c>
    </row>
    <row r="24" spans="2:42" x14ac:dyDescent="0.35">
      <c r="B24" s="137">
        <v>22</v>
      </c>
      <c r="C24" s="137">
        <f>Apendix!$C$8</f>
        <v>5840.8360960000009</v>
      </c>
      <c r="D24" s="137">
        <f t="shared" si="0"/>
        <v>5800.4455990000006</v>
      </c>
      <c r="E24" s="138">
        <v>261.60632099999998</v>
      </c>
      <c r="F24" s="138">
        <f>Apendix!$D$8</f>
        <v>6384.403217000001</v>
      </c>
      <c r="G24" s="137">
        <f t="shared" si="1"/>
        <v>4159.1234549999999</v>
      </c>
      <c r="H24" s="138">
        <v>-16.341381999999999</v>
      </c>
      <c r="I24" s="138">
        <f>Apendix!$E$8</f>
        <v>6581.2263720000001</v>
      </c>
      <c r="J24" s="137">
        <f t="shared" si="2"/>
        <v>5480.7374089999994</v>
      </c>
      <c r="K24" s="138">
        <v>556.96970799999997</v>
      </c>
      <c r="L24" s="138">
        <f>Apendix!$F$8</f>
        <v>6839.8031820000006</v>
      </c>
      <c r="M24" s="137">
        <f t="shared" si="3"/>
        <v>4346.3620999999994</v>
      </c>
      <c r="N24" s="138">
        <v>218.22985700000001</v>
      </c>
      <c r="O24" s="138">
        <f>Apendix!$G$8</f>
        <v>6597.9354540000004</v>
      </c>
      <c r="P24" s="137">
        <f t="shared" si="4"/>
        <v>4776.8010539999996</v>
      </c>
      <c r="Q24" s="138">
        <v>534.78840100000002</v>
      </c>
      <c r="R24" s="138">
        <f>Apendix!$H$8</f>
        <v>6706.5427010000003</v>
      </c>
      <c r="S24" s="137">
        <f t="shared" si="5"/>
        <v>4544.4888339999998</v>
      </c>
      <c r="T24" s="138">
        <v>304.93926800000003</v>
      </c>
      <c r="U24" s="138">
        <f>Apendix!$I$8</f>
        <v>7295.3604329999998</v>
      </c>
      <c r="V24" s="137">
        <f t="shared" si="6"/>
        <v>5190.5234570000002</v>
      </c>
      <c r="W24" s="138">
        <v>253.99575300000001</v>
      </c>
      <c r="X24" s="138">
        <f>Apendix!$J$8</f>
        <v>7569.0930229999994</v>
      </c>
      <c r="Y24" s="137">
        <f t="shared" si="7"/>
        <v>4106.997429</v>
      </c>
      <c r="Z24" s="138">
        <v>122.976871</v>
      </c>
      <c r="AA24" s="138">
        <f>Apendix!$K$8</f>
        <v>7763.1358289999998</v>
      </c>
      <c r="AB24" s="137">
        <f t="shared" si="8"/>
        <v>3887.4155650000002</v>
      </c>
      <c r="AC24" s="138">
        <v>184.668826</v>
      </c>
      <c r="AD24" s="138">
        <f>Apendix!$L$8</f>
        <v>8374.952612000001</v>
      </c>
      <c r="AE24" s="137">
        <f t="shared" si="9"/>
        <v>4348.4783799999996</v>
      </c>
      <c r="AF24" s="138">
        <v>336.14278000000002</v>
      </c>
      <c r="AG24" s="138">
        <f>Apendix!$M$8</f>
        <v>8441.1287429999993</v>
      </c>
      <c r="AH24" s="137">
        <f t="shared" si="11"/>
        <v>5953.9199369999997</v>
      </c>
      <c r="AI24" s="138">
        <f>Apendix!M35</f>
        <v>113.720884</v>
      </c>
      <c r="AJ24" s="138">
        <f>Apendix!$N$8</f>
        <v>6605.5799399999996</v>
      </c>
      <c r="AK24" s="138">
        <f t="shared" si="10"/>
        <v>4525.0539197500002</v>
      </c>
      <c r="AL24" s="138">
        <v>133.89414400000001</v>
      </c>
      <c r="AN24" s="138">
        <v>6605.5799399999996</v>
      </c>
      <c r="AO24" s="138">
        <v>4525.0539197500002</v>
      </c>
      <c r="AP24" s="138">
        <v>133.89414400000001</v>
      </c>
    </row>
    <row r="25" spans="2:42" x14ac:dyDescent="0.35">
      <c r="B25" s="137">
        <v>23</v>
      </c>
      <c r="C25" s="137">
        <f>Apendix!$C$8</f>
        <v>5840.8360960000009</v>
      </c>
      <c r="D25" s="137">
        <f t="shared" si="0"/>
        <v>7165.1066610000007</v>
      </c>
      <c r="E25" s="138">
        <v>1364.6610619999999</v>
      </c>
      <c r="F25" s="138">
        <f>Apendix!$D$8</f>
        <v>6384.403217000001</v>
      </c>
      <c r="G25" s="137">
        <f t="shared" si="1"/>
        <v>4448.0708560000003</v>
      </c>
      <c r="H25" s="138">
        <v>288.94740100000001</v>
      </c>
      <c r="I25" s="138">
        <f>Apendix!$E$8</f>
        <v>6581.2263720000001</v>
      </c>
      <c r="J25" s="137">
        <f t="shared" si="2"/>
        <v>6047.0687079999989</v>
      </c>
      <c r="K25" s="138">
        <v>566.33129899999994</v>
      </c>
      <c r="L25" s="138">
        <f>Apendix!$F$8</f>
        <v>6839.8031820000006</v>
      </c>
      <c r="M25" s="137">
        <f t="shared" si="3"/>
        <v>4460.502997999999</v>
      </c>
      <c r="N25" s="138">
        <v>114.14089800000001</v>
      </c>
      <c r="O25" s="138">
        <f>Apendix!$G$8</f>
        <v>6597.9354540000004</v>
      </c>
      <c r="P25" s="137">
        <f t="shared" si="4"/>
        <v>5582.9710829999995</v>
      </c>
      <c r="Q25" s="138">
        <v>806.170029</v>
      </c>
      <c r="R25" s="138">
        <f>Apendix!$H$8</f>
        <v>6706.5427010000003</v>
      </c>
      <c r="S25" s="137">
        <f t="shared" si="5"/>
        <v>6104.9562989999995</v>
      </c>
      <c r="T25" s="138">
        <v>1560.4674649999999</v>
      </c>
      <c r="U25" s="138">
        <f>Apendix!$I$8</f>
        <v>7295.3604329999998</v>
      </c>
      <c r="V25" s="137">
        <f t="shared" si="6"/>
        <v>5277.9806550000003</v>
      </c>
      <c r="W25" s="138">
        <v>87.457198000000005</v>
      </c>
      <c r="X25" s="138">
        <f>Apendix!$J$8</f>
        <v>7569.0930229999994</v>
      </c>
      <c r="Y25" s="137">
        <f t="shared" si="7"/>
        <v>4265.5292589999999</v>
      </c>
      <c r="Z25" s="138">
        <v>158.53183000000001</v>
      </c>
      <c r="AA25" s="138">
        <f>Apendix!$K$8</f>
        <v>7763.1358289999998</v>
      </c>
      <c r="AB25" s="137">
        <f t="shared" si="8"/>
        <v>3944.7084930000001</v>
      </c>
      <c r="AC25" s="138">
        <v>57.292928000000003</v>
      </c>
      <c r="AD25" s="138">
        <f>Apendix!$L$8</f>
        <v>8374.952612000001</v>
      </c>
      <c r="AE25" s="137">
        <f t="shared" si="9"/>
        <v>4787.9012649999995</v>
      </c>
      <c r="AF25" s="138">
        <v>439.42288500000001</v>
      </c>
      <c r="AG25" s="138">
        <f>Apendix!$M$8</f>
        <v>8441.1287429999993</v>
      </c>
      <c r="AH25" s="137">
        <f t="shared" si="11"/>
        <v>6481.566879</v>
      </c>
      <c r="AI25" s="138">
        <f>Apendix!M36</f>
        <v>527.64694199999997</v>
      </c>
      <c r="AJ25" s="138">
        <f>Apendix!$N$8</f>
        <v>6605.5799399999996</v>
      </c>
      <c r="AK25" s="138">
        <f t="shared" si="10"/>
        <v>4657.4390427500002</v>
      </c>
      <c r="AL25" s="138">
        <v>132.38512299999999</v>
      </c>
      <c r="AN25" s="138">
        <v>6605.5799399999996</v>
      </c>
      <c r="AO25" s="138">
        <v>4657.4390427500002</v>
      </c>
      <c r="AP25" s="138">
        <v>132.38512299999999</v>
      </c>
    </row>
    <row r="26" spans="2:42" x14ac:dyDescent="0.35">
      <c r="B26" s="137">
        <v>24</v>
      </c>
      <c r="C26" s="137"/>
      <c r="D26" s="137"/>
      <c r="E26" s="138"/>
      <c r="F26" s="138">
        <f>Apendix!$D$8</f>
        <v>6384.403217000001</v>
      </c>
      <c r="G26" s="137">
        <f t="shared" si="1"/>
        <v>6072.4375540000001</v>
      </c>
      <c r="H26" s="138">
        <v>1624.366698</v>
      </c>
      <c r="I26" s="138">
        <f>Apendix!$E$8</f>
        <v>6581.2263720000001</v>
      </c>
      <c r="J26" s="137">
        <f t="shared" si="2"/>
        <v>6047.7187079999985</v>
      </c>
      <c r="K26" s="138">
        <v>0.65</v>
      </c>
      <c r="L26" s="138">
        <f>Apendix!$F$8</f>
        <v>6839.8031820000006</v>
      </c>
      <c r="M26" s="137">
        <f t="shared" si="3"/>
        <v>5877.2440809999989</v>
      </c>
      <c r="N26" s="138">
        <v>1416.7410829999999</v>
      </c>
      <c r="O26" s="138">
        <f>Apendix!$G$8</f>
        <v>6597.9354540000004</v>
      </c>
      <c r="P26" s="137">
        <f t="shared" si="4"/>
        <v>6745.9861529999998</v>
      </c>
      <c r="Q26" s="138">
        <v>1163.0150699999999</v>
      </c>
      <c r="R26" s="138"/>
      <c r="S26" s="137"/>
      <c r="T26" s="138"/>
      <c r="U26" s="138">
        <f>Apendix!$I$8</f>
        <v>7295.3604329999998</v>
      </c>
      <c r="V26" s="137">
        <f t="shared" si="6"/>
        <v>5439.4774910000006</v>
      </c>
      <c r="W26" s="138">
        <v>161.496836</v>
      </c>
      <c r="X26" s="138">
        <f>Apendix!$J$8</f>
        <v>7569.0930229999994</v>
      </c>
      <c r="Y26" s="137">
        <f t="shared" si="7"/>
        <v>4893.9536850000004</v>
      </c>
      <c r="Z26" s="138">
        <v>628.42442600000004</v>
      </c>
      <c r="AA26" s="138">
        <f>Apendix!$K$8</f>
        <v>7763.1358289999998</v>
      </c>
      <c r="AB26" s="137">
        <f t="shared" si="8"/>
        <v>4924.5640810000004</v>
      </c>
      <c r="AC26" s="138">
        <v>979.85558800000001</v>
      </c>
      <c r="AD26" s="138">
        <f>Apendix!$L$8</f>
        <v>8374.952612000001</v>
      </c>
      <c r="AE26" s="137">
        <f t="shared" si="9"/>
        <v>5075.6256129999992</v>
      </c>
      <c r="AF26" s="138">
        <v>287.72434800000002</v>
      </c>
      <c r="AG26" s="138"/>
      <c r="AH26" s="137">
        <f t="shared" si="11"/>
        <v>6615.9639209999996</v>
      </c>
      <c r="AI26" s="138">
        <f>Apendix!M37</f>
        <v>134.397042</v>
      </c>
      <c r="AJ26" s="138">
        <f>Apendix!$N$8</f>
        <v>6605.5799399999996</v>
      </c>
      <c r="AK26" s="138">
        <f t="shared" si="10"/>
        <v>4829.5596027500005</v>
      </c>
      <c r="AL26" s="138">
        <v>172.12056000000001</v>
      </c>
      <c r="AN26" s="138">
        <v>6605.5799399999996</v>
      </c>
      <c r="AO26" s="138">
        <v>4829.5596027500005</v>
      </c>
      <c r="AP26" s="138">
        <v>172.12056000000001</v>
      </c>
    </row>
    <row r="27" spans="2:42" x14ac:dyDescent="0.35">
      <c r="B27" s="137">
        <v>25</v>
      </c>
      <c r="C27" s="137"/>
      <c r="D27" s="137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>
        <f>Apendix!$I$8</f>
        <v>7295.3604329999998</v>
      </c>
      <c r="V27" s="137">
        <f t="shared" si="6"/>
        <v>5683.3512750000009</v>
      </c>
      <c r="W27" s="138">
        <v>243.873784</v>
      </c>
      <c r="X27" s="138">
        <f>Apendix!$J$8</f>
        <v>7569.0930229999994</v>
      </c>
      <c r="Y27" s="137">
        <f t="shared" si="7"/>
        <v>5217.2175200000001</v>
      </c>
      <c r="Z27" s="138">
        <v>323.26383499999997</v>
      </c>
      <c r="AA27" s="138">
        <f>Apendix!$K$8</f>
        <v>7763.1358289999998</v>
      </c>
      <c r="AB27" s="137">
        <f t="shared" si="8"/>
        <v>6864.1550450000004</v>
      </c>
      <c r="AC27" s="138">
        <v>1939.590964</v>
      </c>
      <c r="AD27" s="138">
        <f>Apendix!$L$8</f>
        <v>8374.952612000001</v>
      </c>
      <c r="AE27" s="137">
        <f t="shared" si="9"/>
        <v>5652.3299099999995</v>
      </c>
      <c r="AF27" s="138">
        <v>576.704297</v>
      </c>
      <c r="AG27" s="138"/>
      <c r="AH27" s="137">
        <f t="shared" si="11"/>
        <v>7333.11052389</v>
      </c>
      <c r="AI27" s="138">
        <f>Apendix!M38</f>
        <v>717.14660288999994</v>
      </c>
      <c r="AJ27" s="138">
        <f>Apendix!$N$8</f>
        <v>6605.5799399999996</v>
      </c>
      <c r="AK27" s="138">
        <f t="shared" si="10"/>
        <v>5347.7821487500005</v>
      </c>
      <c r="AL27" s="138">
        <v>518.22254599999997</v>
      </c>
      <c r="AN27" s="138">
        <v>6605.5799399999996</v>
      </c>
      <c r="AO27" s="138">
        <v>5347.7821487500005</v>
      </c>
      <c r="AP27" s="138">
        <v>518.22254599999997</v>
      </c>
    </row>
    <row r="28" spans="2:42" x14ac:dyDescent="0.35">
      <c r="B28" s="137">
        <v>26</v>
      </c>
      <c r="C28" s="137"/>
      <c r="D28" s="137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>
        <f>Apendix!$I$8</f>
        <v>7295.3604329999998</v>
      </c>
      <c r="V28" s="137">
        <f t="shared" si="6"/>
        <v>5829.3278890000011</v>
      </c>
      <c r="W28" s="138">
        <v>145.97661400000001</v>
      </c>
      <c r="X28" s="138">
        <f>Apendix!$J$8</f>
        <v>7569.0930229999994</v>
      </c>
      <c r="Y28" s="137">
        <f t="shared" si="7"/>
        <v>6645.1764110000004</v>
      </c>
      <c r="Z28" s="138">
        <v>1427.958891</v>
      </c>
      <c r="AA28" s="138"/>
      <c r="AB28" s="138"/>
      <c r="AC28" s="138"/>
      <c r="AD28" s="138">
        <f>Apendix!$L$8</f>
        <v>8374.952612000001</v>
      </c>
      <c r="AE28" s="137">
        <f t="shared" si="9"/>
        <v>5751.9017419999991</v>
      </c>
      <c r="AF28" s="138">
        <v>99.571832000000001</v>
      </c>
      <c r="AG28" s="138"/>
      <c r="AH28" s="137">
        <f t="shared" si="11"/>
        <v>9447.5324180700009</v>
      </c>
      <c r="AI28" s="138">
        <f>Apendix!M39</f>
        <v>2114.42189418</v>
      </c>
      <c r="AJ28" s="138"/>
      <c r="AK28" s="138"/>
      <c r="AL28" s="138"/>
      <c r="AN28" s="138">
        <v>0</v>
      </c>
      <c r="AO28" s="138">
        <v>0</v>
      </c>
      <c r="AP28" s="138">
        <v>0</v>
      </c>
    </row>
    <row r="29" spans="2:42" x14ac:dyDescent="0.35">
      <c r="B29" s="137">
        <v>27</v>
      </c>
      <c r="C29" s="137"/>
      <c r="D29" s="137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>
        <f>Apendix!$I$8</f>
        <v>7295.3604329999998</v>
      </c>
      <c r="V29" s="137">
        <f t="shared" si="6"/>
        <v>7897.0777550000012</v>
      </c>
      <c r="W29" s="138">
        <v>2067.7498660000001</v>
      </c>
      <c r="X29" s="138"/>
      <c r="Y29" s="138"/>
      <c r="Z29" s="138"/>
      <c r="AA29" s="138"/>
      <c r="AB29" s="138"/>
      <c r="AC29" s="138"/>
      <c r="AD29" s="138">
        <f>Apendix!$L$8</f>
        <v>8374.952612000001</v>
      </c>
      <c r="AE29" s="137">
        <f t="shared" si="9"/>
        <v>8235.7460619999983</v>
      </c>
      <c r="AF29" s="138">
        <v>2483.8443200000002</v>
      </c>
      <c r="AG29" s="138"/>
      <c r="AH29" s="138"/>
      <c r="AI29" s="138">
        <f>Apendix!M40</f>
        <v>0</v>
      </c>
      <c r="AJ29" s="138"/>
      <c r="AK29" s="138"/>
      <c r="AL29" s="138"/>
      <c r="AN29" s="138">
        <v>0</v>
      </c>
      <c r="AO29" s="138">
        <v>0</v>
      </c>
      <c r="AP29" s="138">
        <v>0</v>
      </c>
    </row>
    <row r="30" spans="2:42" x14ac:dyDescent="0.35"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N30" s="138"/>
      <c r="AO30" s="138"/>
      <c r="AP30" s="138"/>
    </row>
    <row r="31" spans="2:42" x14ac:dyDescent="0.35"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N31" s="138"/>
      <c r="AO31" s="138"/>
      <c r="AP31" s="138"/>
    </row>
    <row r="32" spans="2:42" x14ac:dyDescent="0.35">
      <c r="AN32" s="138"/>
      <c r="AO32" s="138"/>
      <c r="AP32" s="138"/>
    </row>
    <row r="33" spans="40:42" x14ac:dyDescent="0.35">
      <c r="AN33" s="138"/>
      <c r="AO33" s="138"/>
      <c r="AP33" s="138"/>
    </row>
  </sheetData>
  <sheetProtection algorithmName="SHA-512" hashValue="58geJvS5xVG7oKRTueH1af4x1SRTHEl6UVFSyCwdk2HB9dCHyJ/GXwfVslpZitPMmlR497DltoxrtyXsTQ86Kw==" saltValue="Jff2XrjvcBkvBEoQ++KRyQ==" spinCount="100000" sheet="1" objects="1" scenarios="1"/>
  <mergeCells count="1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2A0A-4533-46CD-9AD8-D2F2DD1900F7}">
  <dimension ref="A3:C14"/>
  <sheetViews>
    <sheetView workbookViewId="0">
      <selection activeCell="I10" sqref="I10"/>
    </sheetView>
  </sheetViews>
  <sheetFormatPr defaultRowHeight="14.5" outlineLevelCol="1" x14ac:dyDescent="0.35"/>
  <cols>
    <col min="1" max="3" width="8.90625" outlineLevel="1"/>
  </cols>
  <sheetData>
    <row r="3" spans="3:3" x14ac:dyDescent="0.35">
      <c r="C3" t="s">
        <v>2</v>
      </c>
    </row>
    <row r="4" spans="3:3" x14ac:dyDescent="0.35">
      <c r="C4" t="s">
        <v>3</v>
      </c>
    </row>
    <row r="5" spans="3:3" x14ac:dyDescent="0.35">
      <c r="C5" t="s">
        <v>4</v>
      </c>
    </row>
    <row r="6" spans="3:3" x14ac:dyDescent="0.35">
      <c r="C6" t="s">
        <v>5</v>
      </c>
    </row>
    <row r="7" spans="3:3" x14ac:dyDescent="0.35">
      <c r="C7" t="s">
        <v>6</v>
      </c>
    </row>
    <row r="8" spans="3:3" x14ac:dyDescent="0.35">
      <c r="C8" t="s">
        <v>7</v>
      </c>
    </row>
    <row r="9" spans="3:3" x14ac:dyDescent="0.35">
      <c r="C9" t="s">
        <v>8</v>
      </c>
    </row>
    <row r="10" spans="3:3" x14ac:dyDescent="0.35">
      <c r="C10" t="s">
        <v>9</v>
      </c>
    </row>
    <row r="11" spans="3:3" x14ac:dyDescent="0.35">
      <c r="C11" t="s">
        <v>10</v>
      </c>
    </row>
    <row r="12" spans="3:3" x14ac:dyDescent="0.35">
      <c r="C12" t="s">
        <v>11</v>
      </c>
    </row>
    <row r="13" spans="3:3" x14ac:dyDescent="0.35">
      <c r="C13" t="s">
        <v>12</v>
      </c>
    </row>
    <row r="14" spans="3:3" x14ac:dyDescent="0.35">
      <c r="C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Daily Sales Performance</vt:lpstr>
      <vt:lpstr>&gt;&gt;</vt:lpstr>
      <vt:lpstr>Apendix</vt:lpstr>
      <vt:lpstr>Chart</vt:lpstr>
      <vt:lpstr>Sheet4</vt:lpstr>
      <vt:lpstr>Apendix!Print_Area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2025-11-27T08:15:01Z</dcterms:created>
  <dcterms:modified xsi:type="dcterms:W3CDTF">2026-01-09T02:10:39Z</dcterms:modified>
</cp:coreProperties>
</file>